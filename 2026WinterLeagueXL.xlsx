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182B38A5-E1D5-4B55-86EB-F8FF199FCA0D}" xr6:coauthVersionLast="47" xr6:coauthVersionMax="47" xr10:uidLastSave="{00000000-0000-0000-0000-000000000000}"/>
  <bookViews>
    <workbookView xWindow="-110" yWindow="-110" windowWidth="19420" windowHeight="10300" xr2:uid="{44E8176A-B14F-4FEE-87B9-53CEBFA849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  <c r="L22" i="1"/>
  <c r="M22" i="1"/>
  <c r="N22" i="1"/>
  <c r="O22" i="1"/>
  <c r="P22" i="1"/>
  <c r="Q22" i="1"/>
  <c r="R22" i="1"/>
  <c r="S22" i="1"/>
  <c r="V22" i="1" l="1"/>
  <c r="S10" i="1"/>
  <c r="L12" i="1"/>
  <c r="S11" i="1" l="1"/>
  <c r="R11" i="1"/>
  <c r="Q11" i="1"/>
  <c r="P11" i="1"/>
  <c r="O11" i="1"/>
  <c r="N11" i="1"/>
  <c r="M11" i="1"/>
  <c r="L11" i="1"/>
  <c r="K11" i="1"/>
  <c r="R10" i="1"/>
  <c r="Q10" i="1"/>
  <c r="P10" i="1"/>
  <c r="O10" i="1"/>
  <c r="N10" i="1"/>
  <c r="M10" i="1"/>
  <c r="L10" i="1"/>
  <c r="K10" i="1"/>
  <c r="S5" i="1"/>
  <c r="R5" i="1"/>
  <c r="Q5" i="1"/>
  <c r="P5" i="1"/>
  <c r="O5" i="1"/>
  <c r="N5" i="1"/>
  <c r="M5" i="1"/>
  <c r="L5" i="1"/>
  <c r="K5" i="1"/>
  <c r="S4" i="1"/>
  <c r="R4" i="1"/>
  <c r="Q4" i="1"/>
  <c r="P4" i="1"/>
  <c r="O4" i="1"/>
  <c r="N4" i="1"/>
  <c r="M4" i="1"/>
  <c r="L4" i="1"/>
  <c r="K4" i="1"/>
  <c r="S13" i="1"/>
  <c r="R13" i="1"/>
  <c r="Q13" i="1"/>
  <c r="P13" i="1"/>
  <c r="O13" i="1"/>
  <c r="N13" i="1"/>
  <c r="M13" i="1"/>
  <c r="L13" i="1"/>
  <c r="K13" i="1"/>
  <c r="S12" i="1"/>
  <c r="R12" i="1"/>
  <c r="Q12" i="1"/>
  <c r="P12" i="1"/>
  <c r="O12" i="1"/>
  <c r="N12" i="1"/>
  <c r="M12" i="1"/>
  <c r="K12" i="1"/>
  <c r="K2" i="1"/>
  <c r="L2" i="1"/>
  <c r="M2" i="1"/>
  <c r="N2" i="1"/>
  <c r="O2" i="1"/>
  <c r="P2" i="1"/>
  <c r="Q2" i="1"/>
  <c r="K3" i="1"/>
  <c r="L3" i="1"/>
  <c r="M3" i="1"/>
  <c r="N3" i="1"/>
  <c r="O3" i="1"/>
  <c r="P3" i="1"/>
  <c r="Q3" i="1"/>
  <c r="K6" i="1"/>
  <c r="L6" i="1"/>
  <c r="M6" i="1"/>
  <c r="N6" i="1"/>
  <c r="O6" i="1"/>
  <c r="P6" i="1"/>
  <c r="Q6" i="1"/>
  <c r="K7" i="1"/>
  <c r="L7" i="1"/>
  <c r="M7" i="1"/>
  <c r="N7" i="1"/>
  <c r="O7" i="1"/>
  <c r="P7" i="1"/>
  <c r="Q7" i="1"/>
  <c r="K8" i="1"/>
  <c r="L8" i="1"/>
  <c r="M8" i="1"/>
  <c r="N8" i="1"/>
  <c r="O8" i="1"/>
  <c r="P8" i="1"/>
  <c r="Q8" i="1"/>
  <c r="K9" i="1"/>
  <c r="L9" i="1"/>
  <c r="M9" i="1"/>
  <c r="N9" i="1"/>
  <c r="O9" i="1"/>
  <c r="P9" i="1"/>
  <c r="Q9" i="1"/>
  <c r="K21" i="1"/>
  <c r="L21" i="1"/>
  <c r="M21" i="1"/>
  <c r="N21" i="1"/>
  <c r="O21" i="1"/>
  <c r="P21" i="1"/>
  <c r="Q21" i="1"/>
  <c r="K20" i="1"/>
  <c r="L20" i="1"/>
  <c r="M20" i="1"/>
  <c r="N20" i="1"/>
  <c r="O20" i="1"/>
  <c r="P20" i="1"/>
  <c r="Q20" i="1"/>
  <c r="K18" i="1"/>
  <c r="L18" i="1"/>
  <c r="M18" i="1"/>
  <c r="N18" i="1"/>
  <c r="O18" i="1"/>
  <c r="P18" i="1"/>
  <c r="Q18" i="1"/>
  <c r="K19" i="1"/>
  <c r="L19" i="1"/>
  <c r="M19" i="1"/>
  <c r="N19" i="1"/>
  <c r="O19" i="1"/>
  <c r="P19" i="1"/>
  <c r="Q19" i="1"/>
  <c r="K14" i="1"/>
  <c r="L14" i="1"/>
  <c r="M14" i="1"/>
  <c r="N14" i="1"/>
  <c r="O14" i="1"/>
  <c r="P14" i="1"/>
  <c r="Q14" i="1"/>
  <c r="K15" i="1"/>
  <c r="L15" i="1"/>
  <c r="M15" i="1"/>
  <c r="N15" i="1"/>
  <c r="O15" i="1"/>
  <c r="P15" i="1"/>
  <c r="Q15" i="1"/>
  <c r="K16" i="1"/>
  <c r="L16" i="1"/>
  <c r="M16" i="1"/>
  <c r="N16" i="1"/>
  <c r="O16" i="1"/>
  <c r="P16" i="1"/>
  <c r="Q16" i="1"/>
  <c r="K17" i="1"/>
  <c r="L17" i="1"/>
  <c r="M17" i="1"/>
  <c r="N17" i="1"/>
  <c r="O17" i="1"/>
  <c r="P17" i="1"/>
  <c r="Q17" i="1"/>
  <c r="S17" i="1"/>
  <c r="R17" i="1"/>
  <c r="S16" i="1"/>
  <c r="R16" i="1"/>
  <c r="S15" i="1"/>
  <c r="R15" i="1"/>
  <c r="S14" i="1"/>
  <c r="R14" i="1"/>
  <c r="S19" i="1"/>
  <c r="R19" i="1"/>
  <c r="S18" i="1"/>
  <c r="R18" i="1"/>
  <c r="S20" i="1"/>
  <c r="R20" i="1"/>
  <c r="S21" i="1"/>
  <c r="R21" i="1"/>
  <c r="S9" i="1"/>
  <c r="R9" i="1"/>
  <c r="S8" i="1"/>
  <c r="R8" i="1"/>
  <c r="S7" i="1"/>
  <c r="R7" i="1"/>
  <c r="S6" i="1"/>
  <c r="R6" i="1"/>
  <c r="S3" i="1"/>
  <c r="R3" i="1"/>
  <c r="S2" i="1"/>
  <c r="R2" i="1"/>
  <c r="V9" i="1" l="1"/>
  <c r="V12" i="1"/>
  <c r="V8" i="1"/>
  <c r="V19" i="1"/>
  <c r="V13" i="1"/>
  <c r="V11" i="1"/>
  <c r="V17" i="1"/>
  <c r="V4" i="1"/>
  <c r="V15" i="1"/>
  <c r="V6" i="1"/>
  <c r="V14" i="1"/>
  <c r="V21" i="1"/>
  <c r="V20" i="1"/>
  <c r="V16" i="1"/>
  <c r="V2" i="1"/>
  <c r="V10" i="1"/>
  <c r="V7" i="1"/>
  <c r="V5" i="1"/>
  <c r="V18" i="1"/>
  <c r="V3" i="1"/>
</calcChain>
</file>

<file path=xl/sharedStrings.xml><?xml version="1.0" encoding="utf-8"?>
<sst xmlns="http://schemas.openxmlformats.org/spreadsheetml/2006/main" count="85" uniqueCount="46">
  <si>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</si>
  <si>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</si>
  <si>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</si>
  <si>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</si>
  <si>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</si>
  <si>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</si>
  <si>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</si>
  <si>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</si>
  <si>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</si>
  <si>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</si>
  <si>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</si>
  <si>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</si>
  <si>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</si>
  <si>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</si>
  <si>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</si>
  <si>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</si>
  <si>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</si>
  <si>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</si>
  <si>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</si>
  <si>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</si>
  <si>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</si>
  <si>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</si>
  <si>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</si>
  <si>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</si>
  <si>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</si>
  <si>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</si>
  <si>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</si>
  <si>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</si>
  <si>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</si>
  <si>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</si>
  <si>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</si>
  <si>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</si>
  <si>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</si>
  <si>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</si>
  <si>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</si>
  <si>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</si>
  <si>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</si>
  <si>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</si>
  <si>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</si>
  <si>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</si>
  <si>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</si>
  <si>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</si>
  <si>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10th</t>
  </si>
  <si>
    <t>PadRating1.2</t>
  </si>
  <si>
    <t>Dmah</t>
  </si>
  <si>
    <t>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</si>
</sst>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  <font>
      <sz val="11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  <fill>
      <patternFill patternType="solid">
        <fgColor rgb="FFDF060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2" fontId="4" fillId="12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16" fontId="5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2" fontId="4" fillId="13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2" fontId="4" fillId="11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2" fontId="6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2" fontId="6" fillId="9" borderId="0" xfId="0" applyNumberFormat="1" applyFont="1" applyFill="1" applyAlignment="1">
      <alignment horizontal="center"/>
    </xf>
    <xf numFmtId="0" fontId="0" fillId="10" borderId="0" xfId="0" applyFill="1" applyAlignment="1">
      <alignment horizontal="center"/>
    </xf>
    <xf numFmtId="0" fontId="4" fillId="10" borderId="0" xfId="0" applyFont="1" applyFill="1" applyAlignment="1">
      <alignment horizontal="center"/>
    </xf>
    <xf numFmtId="2" fontId="4" fillId="10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12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0" fillId="10" borderId="0" xfId="0" applyFill="1" applyAlignment="1">
      <alignment horizontal="left"/>
    </xf>
    <xf numFmtId="2" fontId="5" fillId="3" borderId="0" xfId="0" applyNumberFormat="1" applyFont="1" applyFill="1" applyAlignment="1">
      <alignment horizontal="center"/>
    </xf>
    <xf numFmtId="0" fontId="8" fillId="11" borderId="0" xfId="0" applyFont="1" applyFill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4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3A602"/>
          <bgColor rgb="FF000000"/>
        </patternFill>
      </fill>
    </dxf>
  </dxfs>
  <tableStyles count="0" defaultTableStyle="TableStyleMedium2" defaultPivotStyle="PivotStyleLight16"/>
  <colors>
    <mruColors>
      <color rgb="FFF87D18"/>
      <color rgb="FFDF060A"/>
      <color rgb="FF56260B"/>
      <color rgb="FF7D86E0"/>
      <color rgb="FF501C75"/>
      <color rgb="FF0038B8"/>
      <color rgb="FF1A3C8E"/>
      <color rgb="FFCF5B1B"/>
      <color rgb="FF8C3E12"/>
      <color rgb="FFEF3E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2"/>
  <sheetViews>
    <sheetView showGridLines="0" tabSelected="1" topLeftCell="F1" zoomScaleNormal="100" workbookViewId="0">
      <selection activeCell="P12" sqref="P12"/>
    </sheetView>
  </sheetViews>
  <sheetFormatPr defaultRowHeight="14.5" x14ac:dyDescent="0.35"/>
  <cols>
    <col min="1" max="1" width="12.1796875" bestFit="1" customWidth="1"/>
    <col min="20" max="20" width="10.26953125" bestFit="1" customWidth="1"/>
    <col min="22" max="22" width="12.54296875" bestFit="1" customWidth="1"/>
  </cols>
  <sheetData>
    <row r="1" spans="1:22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43</v>
      </c>
    </row>
    <row r="2" spans="1:22" x14ac:dyDescent="0.35">
      <c r="A2" s="36" t="s">
        <v>28</v>
      </c>
      <c r="B2" s="6">
        <v>58</v>
      </c>
      <c r="C2" s="6">
        <v>40</v>
      </c>
      <c r="D2" s="6">
        <v>16</v>
      </c>
      <c r="E2" s="6">
        <v>3</v>
      </c>
      <c r="F2" s="6">
        <v>22</v>
      </c>
      <c r="G2" s="6">
        <v>488</v>
      </c>
      <c r="H2" s="6">
        <v>20</v>
      </c>
      <c r="I2" s="6">
        <v>6194</v>
      </c>
      <c r="J2" s="6">
        <v>57</v>
      </c>
      <c r="K2" s="6">
        <f t="shared" ref="K2:K22" si="0">ROUND(IMDIV(B2,J2),2)</f>
        <v>1.02</v>
      </c>
      <c r="L2" s="7">
        <f t="shared" ref="L2:L22" si="1">E2/J2</f>
        <v>5.2631578947368418E-2</v>
      </c>
      <c r="M2" s="7">
        <f t="shared" ref="M2:M22" si="2">D2/J2</f>
        <v>0.2807017543859649</v>
      </c>
      <c r="N2" s="6">
        <f t="shared" ref="N2:N22" si="3">ROUND(IMDIV(F2,J2),2)</f>
        <v>0.39</v>
      </c>
      <c r="O2" s="6">
        <f t="shared" ref="O2:O22" si="4">ROUND(IMDIV(G2,J2),2)</f>
        <v>8.56</v>
      </c>
      <c r="P2" s="6">
        <f t="shared" ref="P2:P22" si="5">ROUND(IMDIV(H2,J2),2)</f>
        <v>0.35</v>
      </c>
      <c r="Q2" s="6">
        <f t="shared" ref="Q2:Q22" si="6">ROUND(IMDIV(B2,F2),2)</f>
        <v>2.64</v>
      </c>
      <c r="R2" s="6">
        <f t="shared" ref="R2:R22" si="7">ROUND(IMDIV(C2,B2),4)*100</f>
        <v>68.97</v>
      </c>
      <c r="S2" s="6">
        <f t="shared" ref="S2:S22" si="8">ROUND(IMDIV(I2,J2),2)</f>
        <v>108.67</v>
      </c>
      <c r="T2" s="8" t="s">
        <v>42</v>
      </c>
      <c r="U2" s="8" t="s">
        <v>24</v>
      </c>
      <c r="V2" s="46">
        <f t="shared" ref="V2:V22" si="9">((K2/2.5)+(M2/4)+(L2/5)-(N2)+(S2/215)+(P2/20))+1</f>
        <v>1.6216436148510813</v>
      </c>
    </row>
    <row r="3" spans="1:22" x14ac:dyDescent="0.35">
      <c r="A3" s="36" t="s">
        <v>27</v>
      </c>
      <c r="B3" s="6">
        <v>28</v>
      </c>
      <c r="C3" s="6">
        <v>19</v>
      </c>
      <c r="D3" s="6">
        <v>4</v>
      </c>
      <c r="E3" s="6">
        <v>0</v>
      </c>
      <c r="F3" s="6">
        <v>29</v>
      </c>
      <c r="G3" s="6">
        <v>10</v>
      </c>
      <c r="H3" s="6">
        <v>9</v>
      </c>
      <c r="I3" s="6">
        <v>2891</v>
      </c>
      <c r="J3" s="6">
        <v>57</v>
      </c>
      <c r="K3" s="6">
        <f t="shared" si="0"/>
        <v>0.49</v>
      </c>
      <c r="L3" s="7">
        <f t="shared" si="1"/>
        <v>0</v>
      </c>
      <c r="M3" s="7">
        <f t="shared" si="2"/>
        <v>7.0175438596491224E-2</v>
      </c>
      <c r="N3" s="6">
        <f t="shared" si="3"/>
        <v>0.51</v>
      </c>
      <c r="O3" s="6">
        <f t="shared" si="4"/>
        <v>0.18</v>
      </c>
      <c r="P3" s="6">
        <f t="shared" si="5"/>
        <v>0.16</v>
      </c>
      <c r="Q3" s="6">
        <f t="shared" si="6"/>
        <v>0.97</v>
      </c>
      <c r="R3" s="6">
        <f t="shared" si="7"/>
        <v>67.86</v>
      </c>
      <c r="S3" s="6">
        <f t="shared" si="8"/>
        <v>50.72</v>
      </c>
      <c r="T3" s="8" t="s">
        <v>42</v>
      </c>
      <c r="U3" s="8" t="s">
        <v>24</v>
      </c>
      <c r="V3" s="46">
        <f t="shared" si="9"/>
        <v>0.94745083639330885</v>
      </c>
    </row>
    <row r="4" spans="1:22" x14ac:dyDescent="0.35">
      <c r="A4" s="44" t="s">
        <v>39</v>
      </c>
      <c r="B4" s="30">
        <v>56</v>
      </c>
      <c r="C4" s="30">
        <v>34</v>
      </c>
      <c r="D4" s="30">
        <v>19</v>
      </c>
      <c r="E4" s="30">
        <v>8</v>
      </c>
      <c r="F4" s="30">
        <v>22</v>
      </c>
      <c r="G4" s="30">
        <v>567</v>
      </c>
      <c r="H4" s="30">
        <v>10</v>
      </c>
      <c r="I4" s="30">
        <v>6274</v>
      </c>
      <c r="J4" s="30">
        <v>56</v>
      </c>
      <c r="K4" s="31">
        <f t="shared" si="0"/>
        <v>1</v>
      </c>
      <c r="L4" s="32">
        <f t="shared" si="1"/>
        <v>0.14285714285714285</v>
      </c>
      <c r="M4" s="32">
        <f t="shared" si="2"/>
        <v>0.3392857142857143</v>
      </c>
      <c r="N4" s="31">
        <f t="shared" si="3"/>
        <v>0.39</v>
      </c>
      <c r="O4" s="31">
        <f t="shared" si="4"/>
        <v>10.130000000000001</v>
      </c>
      <c r="P4" s="31">
        <f t="shared" si="5"/>
        <v>0.18</v>
      </c>
      <c r="Q4" s="31">
        <f t="shared" si="6"/>
        <v>2.5499999999999998</v>
      </c>
      <c r="R4" s="31">
        <f t="shared" si="7"/>
        <v>60.709999999999994</v>
      </c>
      <c r="S4" s="31">
        <f t="shared" si="8"/>
        <v>112.04</v>
      </c>
      <c r="T4" s="30" t="s">
        <v>42</v>
      </c>
      <c r="U4" s="30" t="s">
        <v>24</v>
      </c>
      <c r="V4" s="46">
        <f t="shared" si="9"/>
        <v>1.6535091362126246</v>
      </c>
    </row>
    <row r="5" spans="1:22" x14ac:dyDescent="0.35">
      <c r="A5" s="44" t="s">
        <v>40</v>
      </c>
      <c r="B5" s="30">
        <v>25</v>
      </c>
      <c r="C5" s="30">
        <v>10</v>
      </c>
      <c r="D5" s="30">
        <v>3</v>
      </c>
      <c r="E5" s="30">
        <v>0</v>
      </c>
      <c r="F5" s="30">
        <v>32</v>
      </c>
      <c r="G5" s="30">
        <v>127</v>
      </c>
      <c r="H5" s="30">
        <v>11</v>
      </c>
      <c r="I5" s="30">
        <v>2646</v>
      </c>
      <c r="J5" s="30">
        <v>56</v>
      </c>
      <c r="K5" s="31">
        <f t="shared" si="0"/>
        <v>0.45</v>
      </c>
      <c r="L5" s="32">
        <f t="shared" si="1"/>
        <v>0</v>
      </c>
      <c r="M5" s="32">
        <f t="shared" si="2"/>
        <v>5.3571428571428568E-2</v>
      </c>
      <c r="N5" s="31">
        <f t="shared" si="3"/>
        <v>0.56999999999999995</v>
      </c>
      <c r="O5" s="31">
        <f t="shared" si="4"/>
        <v>2.27</v>
      </c>
      <c r="P5" s="31">
        <f t="shared" si="5"/>
        <v>0.2</v>
      </c>
      <c r="Q5" s="31">
        <f t="shared" si="6"/>
        <v>0.78</v>
      </c>
      <c r="R5" s="31">
        <f t="shared" si="7"/>
        <v>40</v>
      </c>
      <c r="S5" s="31">
        <f t="shared" si="8"/>
        <v>47.25</v>
      </c>
      <c r="T5" s="30" t="s">
        <v>42</v>
      </c>
      <c r="U5" s="30" t="s">
        <v>24</v>
      </c>
      <c r="V5" s="46">
        <f t="shared" si="9"/>
        <v>0.85316029900332235</v>
      </c>
    </row>
    <row r="6" spans="1:22" x14ac:dyDescent="0.35">
      <c r="A6" s="37" t="s">
        <v>31</v>
      </c>
      <c r="B6" s="9">
        <v>68</v>
      </c>
      <c r="C6" s="9">
        <v>37</v>
      </c>
      <c r="D6" s="9">
        <v>17</v>
      </c>
      <c r="E6" s="10">
        <v>8</v>
      </c>
      <c r="F6" s="10">
        <v>44</v>
      </c>
      <c r="G6" s="10">
        <v>164</v>
      </c>
      <c r="H6" s="10">
        <v>29</v>
      </c>
      <c r="I6" s="10">
        <v>7597</v>
      </c>
      <c r="J6" s="10">
        <v>85</v>
      </c>
      <c r="K6" s="9">
        <f t="shared" si="0"/>
        <v>0.8</v>
      </c>
      <c r="L6" s="11">
        <f t="shared" si="1"/>
        <v>9.4117647058823528E-2</v>
      </c>
      <c r="M6" s="11">
        <f t="shared" si="2"/>
        <v>0.2</v>
      </c>
      <c r="N6" s="9">
        <f t="shared" si="3"/>
        <v>0.52</v>
      </c>
      <c r="O6" s="9">
        <f t="shared" si="4"/>
        <v>1.93</v>
      </c>
      <c r="P6" s="9">
        <f t="shared" si="5"/>
        <v>0.34</v>
      </c>
      <c r="Q6" s="9">
        <f t="shared" si="6"/>
        <v>1.55</v>
      </c>
      <c r="R6" s="9">
        <f t="shared" si="7"/>
        <v>54.410000000000004</v>
      </c>
      <c r="S6" s="9">
        <f t="shared" si="8"/>
        <v>89.38</v>
      </c>
      <c r="T6" s="10" t="s">
        <v>42</v>
      </c>
      <c r="U6" s="10" t="s">
        <v>24</v>
      </c>
      <c r="V6" s="46">
        <f t="shared" si="9"/>
        <v>1.3015444596443229</v>
      </c>
    </row>
    <row r="7" spans="1:22" x14ac:dyDescent="0.35">
      <c r="A7" s="37" t="s">
        <v>32</v>
      </c>
      <c r="B7" s="9">
        <v>41</v>
      </c>
      <c r="C7" s="9">
        <v>18</v>
      </c>
      <c r="D7" s="9">
        <v>6</v>
      </c>
      <c r="E7" s="10">
        <v>3</v>
      </c>
      <c r="F7" s="10">
        <v>52</v>
      </c>
      <c r="G7" s="10">
        <v>249</v>
      </c>
      <c r="H7" s="10">
        <v>15</v>
      </c>
      <c r="I7" s="10">
        <v>4999</v>
      </c>
      <c r="J7" s="10">
        <v>85</v>
      </c>
      <c r="K7" s="9">
        <f t="shared" si="0"/>
        <v>0.48</v>
      </c>
      <c r="L7" s="11">
        <f t="shared" si="1"/>
        <v>3.5294117647058823E-2</v>
      </c>
      <c r="M7" s="11">
        <f t="shared" si="2"/>
        <v>7.0588235294117646E-2</v>
      </c>
      <c r="N7" s="9">
        <f t="shared" si="3"/>
        <v>0.61</v>
      </c>
      <c r="O7" s="9">
        <f t="shared" si="4"/>
        <v>2.93</v>
      </c>
      <c r="P7" s="9">
        <f t="shared" si="5"/>
        <v>0.18</v>
      </c>
      <c r="Q7" s="9">
        <f t="shared" si="6"/>
        <v>0.79</v>
      </c>
      <c r="R7" s="9">
        <f t="shared" si="7"/>
        <v>43.9</v>
      </c>
      <c r="S7" s="9">
        <f t="shared" si="8"/>
        <v>58.81</v>
      </c>
      <c r="T7" s="10" t="s">
        <v>42</v>
      </c>
      <c r="U7" s="10" t="s">
        <v>24</v>
      </c>
      <c r="V7" s="46">
        <f t="shared" si="9"/>
        <v>0.88924076607387148</v>
      </c>
    </row>
    <row r="8" spans="1:22" x14ac:dyDescent="0.35">
      <c r="A8" s="38" t="s">
        <v>29</v>
      </c>
      <c r="B8" s="12">
        <v>45</v>
      </c>
      <c r="C8" s="12">
        <v>21</v>
      </c>
      <c r="D8" s="12">
        <v>12</v>
      </c>
      <c r="E8" s="12">
        <v>4</v>
      </c>
      <c r="F8" s="12">
        <v>25</v>
      </c>
      <c r="G8" s="12">
        <v>254</v>
      </c>
      <c r="H8" s="12">
        <v>8</v>
      </c>
      <c r="I8" s="12">
        <v>5407</v>
      </c>
      <c r="J8" s="12">
        <v>53</v>
      </c>
      <c r="K8" s="12">
        <f t="shared" si="0"/>
        <v>0.85</v>
      </c>
      <c r="L8" s="13">
        <f t="shared" si="1"/>
        <v>7.5471698113207544E-2</v>
      </c>
      <c r="M8" s="13">
        <f t="shared" si="2"/>
        <v>0.22641509433962265</v>
      </c>
      <c r="N8" s="12">
        <f t="shared" si="3"/>
        <v>0.47</v>
      </c>
      <c r="O8" s="12">
        <f t="shared" si="4"/>
        <v>4.79</v>
      </c>
      <c r="P8" s="12">
        <f t="shared" si="5"/>
        <v>0.15</v>
      </c>
      <c r="Q8" s="12">
        <f t="shared" si="6"/>
        <v>1.8</v>
      </c>
      <c r="R8" s="12">
        <f t="shared" si="7"/>
        <v>46.67</v>
      </c>
      <c r="S8" s="12">
        <f t="shared" si="8"/>
        <v>102.02</v>
      </c>
      <c r="T8" s="14" t="s">
        <v>42</v>
      </c>
      <c r="U8" s="15" t="s">
        <v>24</v>
      </c>
      <c r="V8" s="46">
        <f t="shared" si="9"/>
        <v>1.4237097411145239</v>
      </c>
    </row>
    <row r="9" spans="1:22" x14ac:dyDescent="0.35">
      <c r="A9" s="38" t="s">
        <v>30</v>
      </c>
      <c r="B9" s="12">
        <v>23</v>
      </c>
      <c r="C9" s="12">
        <v>10</v>
      </c>
      <c r="D9" s="12">
        <v>2</v>
      </c>
      <c r="E9" s="12">
        <v>0</v>
      </c>
      <c r="F9" s="12">
        <v>29</v>
      </c>
      <c r="G9" s="12">
        <v>95</v>
      </c>
      <c r="H9" s="12">
        <v>4</v>
      </c>
      <c r="I9" s="12">
        <v>2789</v>
      </c>
      <c r="J9" s="12">
        <v>53</v>
      </c>
      <c r="K9" s="12">
        <f t="shared" si="0"/>
        <v>0.43</v>
      </c>
      <c r="L9" s="13">
        <f t="shared" si="1"/>
        <v>0</v>
      </c>
      <c r="M9" s="13">
        <f t="shared" si="2"/>
        <v>3.7735849056603772E-2</v>
      </c>
      <c r="N9" s="12">
        <f t="shared" si="3"/>
        <v>0.55000000000000004</v>
      </c>
      <c r="O9" s="12">
        <f t="shared" si="4"/>
        <v>1.79</v>
      </c>
      <c r="P9" s="12">
        <f t="shared" si="5"/>
        <v>0.08</v>
      </c>
      <c r="Q9" s="12">
        <f t="shared" si="6"/>
        <v>0.79</v>
      </c>
      <c r="R9" s="12">
        <f t="shared" si="7"/>
        <v>43.480000000000004</v>
      </c>
      <c r="S9" s="12">
        <f t="shared" si="8"/>
        <v>52.62</v>
      </c>
      <c r="T9" s="14" t="s">
        <v>42</v>
      </c>
      <c r="U9" s="15" t="s">
        <v>24</v>
      </c>
      <c r="V9" s="46">
        <f t="shared" si="9"/>
        <v>0.88017814831066254</v>
      </c>
    </row>
    <row r="10" spans="1:22" x14ac:dyDescent="0.35">
      <c r="A10" s="45" t="s">
        <v>41</v>
      </c>
      <c r="B10" s="33">
        <v>32</v>
      </c>
      <c r="C10" s="33">
        <v>14</v>
      </c>
      <c r="D10" s="33">
        <v>9</v>
      </c>
      <c r="E10" s="33">
        <v>1</v>
      </c>
      <c r="F10" s="33">
        <v>31</v>
      </c>
      <c r="G10" s="33">
        <v>148</v>
      </c>
      <c r="H10" s="33">
        <v>14</v>
      </c>
      <c r="I10" s="33">
        <v>4108</v>
      </c>
      <c r="J10" s="33">
        <v>51</v>
      </c>
      <c r="K10" s="34">
        <f t="shared" si="0"/>
        <v>0.63</v>
      </c>
      <c r="L10" s="35">
        <f t="shared" si="1"/>
        <v>1.9607843137254902E-2</v>
      </c>
      <c r="M10" s="35">
        <f t="shared" si="2"/>
        <v>0.17647058823529413</v>
      </c>
      <c r="N10" s="34">
        <f t="shared" si="3"/>
        <v>0.61</v>
      </c>
      <c r="O10" s="34">
        <f t="shared" si="4"/>
        <v>2.9</v>
      </c>
      <c r="P10" s="34">
        <f t="shared" si="5"/>
        <v>0.27</v>
      </c>
      <c r="Q10" s="34">
        <f t="shared" si="6"/>
        <v>1.03</v>
      </c>
      <c r="R10" s="34">
        <f t="shared" si="7"/>
        <v>43.75</v>
      </c>
      <c r="S10" s="34">
        <f t="shared" si="8"/>
        <v>80.55</v>
      </c>
      <c r="T10" s="33" t="s">
        <v>42</v>
      </c>
      <c r="U10" s="33" t="s">
        <v>24</v>
      </c>
      <c r="V10" s="46">
        <f t="shared" si="9"/>
        <v>1.0781903784769722</v>
      </c>
    </row>
    <row r="11" spans="1:22" x14ac:dyDescent="0.35">
      <c r="A11" s="45" t="s">
        <v>26</v>
      </c>
      <c r="B11" s="33">
        <v>28</v>
      </c>
      <c r="C11" s="33">
        <v>13</v>
      </c>
      <c r="D11" s="33">
        <v>7</v>
      </c>
      <c r="E11" s="33">
        <v>3</v>
      </c>
      <c r="F11" s="33">
        <v>30</v>
      </c>
      <c r="G11" s="33">
        <v>253</v>
      </c>
      <c r="H11" s="33">
        <v>2</v>
      </c>
      <c r="I11" s="33">
        <v>2911</v>
      </c>
      <c r="J11" s="33">
        <v>51</v>
      </c>
      <c r="K11" s="34">
        <f t="shared" si="0"/>
        <v>0.55000000000000004</v>
      </c>
      <c r="L11" s="35">
        <f t="shared" si="1"/>
        <v>5.8823529411764705E-2</v>
      </c>
      <c r="M11" s="35">
        <f t="shared" si="2"/>
        <v>0.13725490196078433</v>
      </c>
      <c r="N11" s="34">
        <f t="shared" si="3"/>
        <v>0.59</v>
      </c>
      <c r="O11" s="34">
        <f t="shared" si="4"/>
        <v>4.96</v>
      </c>
      <c r="P11" s="34">
        <f t="shared" si="5"/>
        <v>0.04</v>
      </c>
      <c r="Q11" s="34">
        <f t="shared" si="6"/>
        <v>0.93</v>
      </c>
      <c r="R11" s="34">
        <f t="shared" si="7"/>
        <v>46.43</v>
      </c>
      <c r="S11" s="34">
        <f t="shared" si="8"/>
        <v>57.08</v>
      </c>
      <c r="T11" s="33" t="s">
        <v>42</v>
      </c>
      <c r="U11" s="33" t="s">
        <v>24</v>
      </c>
      <c r="V11" s="46">
        <f t="shared" si="9"/>
        <v>0.94356680346557231</v>
      </c>
    </row>
    <row r="12" spans="1:22" x14ac:dyDescent="0.35">
      <c r="A12" s="43" t="s">
        <v>37</v>
      </c>
      <c r="B12" s="27">
        <v>43</v>
      </c>
      <c r="C12" s="27">
        <v>24</v>
      </c>
      <c r="D12" s="27">
        <v>6</v>
      </c>
      <c r="E12" s="27">
        <v>4</v>
      </c>
      <c r="F12" s="27">
        <v>44</v>
      </c>
      <c r="G12" s="27">
        <v>54</v>
      </c>
      <c r="H12" s="27">
        <v>25</v>
      </c>
      <c r="I12" s="27">
        <v>5634</v>
      </c>
      <c r="J12" s="27">
        <v>71</v>
      </c>
      <c r="K12" s="28">
        <f t="shared" si="0"/>
        <v>0.61</v>
      </c>
      <c r="L12" s="29">
        <f t="shared" si="1"/>
        <v>5.6338028169014086E-2</v>
      </c>
      <c r="M12" s="29">
        <f t="shared" si="2"/>
        <v>8.4507042253521125E-2</v>
      </c>
      <c r="N12" s="28">
        <f t="shared" si="3"/>
        <v>0.62</v>
      </c>
      <c r="O12" s="28">
        <f t="shared" si="4"/>
        <v>0.76</v>
      </c>
      <c r="P12" s="28">
        <f t="shared" si="5"/>
        <v>0.35</v>
      </c>
      <c r="Q12" s="28">
        <f t="shared" si="6"/>
        <v>0.98</v>
      </c>
      <c r="R12" s="28">
        <f t="shared" si="7"/>
        <v>55.81</v>
      </c>
      <c r="S12" s="28">
        <f t="shared" si="8"/>
        <v>79.349999999999994</v>
      </c>
      <c r="T12" s="27" t="s">
        <v>42</v>
      </c>
      <c r="U12" s="27" t="s">
        <v>24</v>
      </c>
      <c r="V12" s="46">
        <f t="shared" si="9"/>
        <v>1.0429641336390434</v>
      </c>
    </row>
    <row r="13" spans="1:22" x14ac:dyDescent="0.35">
      <c r="A13" s="43" t="s">
        <v>38</v>
      </c>
      <c r="B13" s="27">
        <v>38</v>
      </c>
      <c r="C13" s="27">
        <v>15</v>
      </c>
      <c r="D13" s="27">
        <v>6</v>
      </c>
      <c r="E13" s="27">
        <v>2</v>
      </c>
      <c r="F13" s="27">
        <v>49</v>
      </c>
      <c r="G13" s="27">
        <v>195</v>
      </c>
      <c r="H13" s="27">
        <v>24</v>
      </c>
      <c r="I13" s="27">
        <v>4111</v>
      </c>
      <c r="J13" s="27">
        <v>71</v>
      </c>
      <c r="K13" s="28">
        <f t="shared" si="0"/>
        <v>0.54</v>
      </c>
      <c r="L13" s="29">
        <f t="shared" si="1"/>
        <v>2.8169014084507043E-2</v>
      </c>
      <c r="M13" s="29">
        <f t="shared" si="2"/>
        <v>8.4507042253521125E-2</v>
      </c>
      <c r="N13" s="28">
        <f t="shared" si="3"/>
        <v>0.69</v>
      </c>
      <c r="O13" s="28">
        <f t="shared" si="4"/>
        <v>2.75</v>
      </c>
      <c r="P13" s="28">
        <f t="shared" si="5"/>
        <v>0.34</v>
      </c>
      <c r="Q13" s="28">
        <f t="shared" si="6"/>
        <v>0.78</v>
      </c>
      <c r="R13" s="28">
        <f t="shared" si="7"/>
        <v>39.47</v>
      </c>
      <c r="S13" s="28">
        <f t="shared" si="8"/>
        <v>57.9</v>
      </c>
      <c r="T13" s="27" t="s">
        <v>42</v>
      </c>
      <c r="U13" s="27" t="s">
        <v>24</v>
      </c>
      <c r="V13" s="46">
        <f t="shared" si="9"/>
        <v>0.83906288896167713</v>
      </c>
    </row>
    <row r="14" spans="1:22" x14ac:dyDescent="0.35">
      <c r="A14" s="41" t="s">
        <v>34</v>
      </c>
      <c r="B14" s="47">
        <v>44</v>
      </c>
      <c r="C14" s="47">
        <v>29</v>
      </c>
      <c r="D14" s="47">
        <v>14</v>
      </c>
      <c r="E14" s="47">
        <v>6</v>
      </c>
      <c r="F14" s="47">
        <v>43</v>
      </c>
      <c r="G14" s="47">
        <v>181</v>
      </c>
      <c r="H14" s="47">
        <v>12</v>
      </c>
      <c r="I14" s="47">
        <v>4564</v>
      </c>
      <c r="J14" s="47">
        <v>72</v>
      </c>
      <c r="K14" s="21">
        <f t="shared" si="0"/>
        <v>0.61</v>
      </c>
      <c r="L14" s="22">
        <f t="shared" si="1"/>
        <v>8.3333333333333329E-2</v>
      </c>
      <c r="M14" s="22">
        <f t="shared" si="2"/>
        <v>0.19444444444444445</v>
      </c>
      <c r="N14" s="21">
        <f t="shared" si="3"/>
        <v>0.6</v>
      </c>
      <c r="O14" s="21">
        <f t="shared" si="4"/>
        <v>2.5099999999999998</v>
      </c>
      <c r="P14" s="21">
        <f t="shared" si="5"/>
        <v>0.17</v>
      </c>
      <c r="Q14" s="21">
        <f t="shared" si="6"/>
        <v>1.02</v>
      </c>
      <c r="R14" s="21">
        <f t="shared" si="7"/>
        <v>65.91</v>
      </c>
      <c r="S14" s="21">
        <f t="shared" si="8"/>
        <v>63.39</v>
      </c>
      <c r="T14" s="23" t="s">
        <v>42</v>
      </c>
      <c r="U14" s="23" t="s">
        <v>24</v>
      </c>
      <c r="V14" s="46">
        <f t="shared" si="9"/>
        <v>1.0126149870801033</v>
      </c>
    </row>
    <row r="15" spans="1:22" x14ac:dyDescent="0.35">
      <c r="A15" s="41" t="s">
        <v>35</v>
      </c>
      <c r="B15" s="47">
        <v>40</v>
      </c>
      <c r="C15" s="47">
        <v>21</v>
      </c>
      <c r="D15" s="47">
        <v>11</v>
      </c>
      <c r="E15" s="47">
        <v>4</v>
      </c>
      <c r="F15" s="47">
        <v>47</v>
      </c>
      <c r="G15" s="47">
        <v>100</v>
      </c>
      <c r="H15" s="47">
        <v>19</v>
      </c>
      <c r="I15" s="47">
        <v>4990</v>
      </c>
      <c r="J15" s="47">
        <v>72</v>
      </c>
      <c r="K15" s="21">
        <f t="shared" si="0"/>
        <v>0.56000000000000005</v>
      </c>
      <c r="L15" s="22">
        <f t="shared" si="1"/>
        <v>5.5555555555555552E-2</v>
      </c>
      <c r="M15" s="22">
        <f t="shared" si="2"/>
        <v>0.15277777777777779</v>
      </c>
      <c r="N15" s="21">
        <f t="shared" si="3"/>
        <v>0.65</v>
      </c>
      <c r="O15" s="21">
        <f t="shared" si="4"/>
        <v>1.39</v>
      </c>
      <c r="P15" s="21">
        <f t="shared" si="5"/>
        <v>0.26</v>
      </c>
      <c r="Q15" s="21">
        <f t="shared" si="6"/>
        <v>0.85</v>
      </c>
      <c r="R15" s="21">
        <f t="shared" si="7"/>
        <v>52.5</v>
      </c>
      <c r="S15" s="21">
        <f t="shared" si="8"/>
        <v>69.31</v>
      </c>
      <c r="T15" s="23" t="s">
        <v>42</v>
      </c>
      <c r="U15" s="23" t="s">
        <v>24</v>
      </c>
      <c r="V15" s="46">
        <f t="shared" si="9"/>
        <v>0.95867764857881144</v>
      </c>
    </row>
    <row r="16" spans="1:22" x14ac:dyDescent="0.35">
      <c r="A16" s="42" t="s">
        <v>36</v>
      </c>
      <c r="B16" s="24">
        <v>48</v>
      </c>
      <c r="C16" s="24">
        <v>28</v>
      </c>
      <c r="D16" s="24">
        <v>17</v>
      </c>
      <c r="E16" s="24">
        <v>2</v>
      </c>
      <c r="F16" s="24">
        <v>42</v>
      </c>
      <c r="G16" s="24">
        <v>263</v>
      </c>
      <c r="H16" s="24">
        <v>7</v>
      </c>
      <c r="I16" s="24">
        <v>5966</v>
      </c>
      <c r="J16" s="24">
        <v>67</v>
      </c>
      <c r="K16" s="25">
        <f t="shared" si="0"/>
        <v>0.72</v>
      </c>
      <c r="L16" s="26">
        <f t="shared" si="1"/>
        <v>2.9850746268656716E-2</v>
      </c>
      <c r="M16" s="26">
        <f t="shared" si="2"/>
        <v>0.2537313432835821</v>
      </c>
      <c r="N16" s="25">
        <f t="shared" si="3"/>
        <v>0.63</v>
      </c>
      <c r="O16" s="25">
        <f t="shared" si="4"/>
        <v>3.93</v>
      </c>
      <c r="P16" s="25">
        <f t="shared" si="5"/>
        <v>0.1</v>
      </c>
      <c r="Q16" s="25">
        <f t="shared" si="6"/>
        <v>1.1399999999999999</v>
      </c>
      <c r="R16" s="25">
        <f t="shared" si="7"/>
        <v>58.330000000000005</v>
      </c>
      <c r="S16" s="25">
        <f t="shared" si="8"/>
        <v>89.04</v>
      </c>
      <c r="T16" s="25" t="s">
        <v>42</v>
      </c>
      <c r="U16" s="25" t="s">
        <v>24</v>
      </c>
      <c r="V16" s="46">
        <f t="shared" si="9"/>
        <v>1.1465425199583479</v>
      </c>
    </row>
    <row r="17" spans="1:22" x14ac:dyDescent="0.35">
      <c r="A17" s="42" t="s">
        <v>25</v>
      </c>
      <c r="B17" s="24">
        <v>19</v>
      </c>
      <c r="C17" s="24">
        <v>10</v>
      </c>
      <c r="D17" s="24">
        <v>5</v>
      </c>
      <c r="E17" s="24">
        <v>2</v>
      </c>
      <c r="F17" s="24">
        <v>33</v>
      </c>
      <c r="G17" s="25">
        <v>84</v>
      </c>
      <c r="H17" s="24">
        <v>8</v>
      </c>
      <c r="I17" s="24">
        <v>2145</v>
      </c>
      <c r="J17" s="24">
        <v>51</v>
      </c>
      <c r="K17" s="25">
        <f t="shared" si="0"/>
        <v>0.37</v>
      </c>
      <c r="L17" s="26">
        <f t="shared" si="1"/>
        <v>3.9215686274509803E-2</v>
      </c>
      <c r="M17" s="26">
        <f t="shared" si="2"/>
        <v>9.8039215686274508E-2</v>
      </c>
      <c r="N17" s="25">
        <f t="shared" si="3"/>
        <v>0.65</v>
      </c>
      <c r="O17" s="25">
        <f t="shared" si="4"/>
        <v>1.65</v>
      </c>
      <c r="P17" s="25">
        <f t="shared" si="5"/>
        <v>0.16</v>
      </c>
      <c r="Q17" s="25">
        <f t="shared" si="6"/>
        <v>0.57999999999999996</v>
      </c>
      <c r="R17" s="25">
        <f t="shared" si="7"/>
        <v>52.629999999999995</v>
      </c>
      <c r="S17" s="25">
        <f t="shared" si="8"/>
        <v>42.06</v>
      </c>
      <c r="T17" s="25" t="s">
        <v>42</v>
      </c>
      <c r="U17" s="25" t="s">
        <v>24</v>
      </c>
      <c r="V17" s="46">
        <f t="shared" si="9"/>
        <v>0.73398084815321485</v>
      </c>
    </row>
    <row r="18" spans="1:22" x14ac:dyDescent="0.35">
      <c r="A18" s="40" t="s">
        <v>22</v>
      </c>
      <c r="B18" s="19">
        <v>37</v>
      </c>
      <c r="C18" s="19">
        <v>24</v>
      </c>
      <c r="D18" s="19">
        <v>7</v>
      </c>
      <c r="E18" s="19">
        <v>1</v>
      </c>
      <c r="F18" s="19">
        <v>47</v>
      </c>
      <c r="G18" s="19">
        <v>165</v>
      </c>
      <c r="H18" s="19">
        <v>9</v>
      </c>
      <c r="I18" s="19">
        <v>4883</v>
      </c>
      <c r="J18" s="19">
        <v>71</v>
      </c>
      <c r="K18" s="19">
        <f t="shared" si="0"/>
        <v>0.52</v>
      </c>
      <c r="L18" s="20">
        <f t="shared" si="1"/>
        <v>1.4084507042253521E-2</v>
      </c>
      <c r="M18" s="20">
        <f t="shared" si="2"/>
        <v>9.8591549295774641E-2</v>
      </c>
      <c r="N18" s="19">
        <f t="shared" si="3"/>
        <v>0.66</v>
      </c>
      <c r="O18" s="19">
        <f t="shared" si="4"/>
        <v>2.3199999999999998</v>
      </c>
      <c r="P18" s="19">
        <f t="shared" si="5"/>
        <v>0.13</v>
      </c>
      <c r="Q18" s="19">
        <f t="shared" si="6"/>
        <v>0.79</v>
      </c>
      <c r="R18" s="19">
        <f t="shared" si="7"/>
        <v>64.86</v>
      </c>
      <c r="S18" s="19">
        <f t="shared" si="8"/>
        <v>68.77</v>
      </c>
      <c r="T18" s="19" t="s">
        <v>42</v>
      </c>
      <c r="U18" s="19" t="s">
        <v>24</v>
      </c>
      <c r="V18" s="46">
        <f t="shared" si="9"/>
        <v>0.9018252538486734</v>
      </c>
    </row>
    <row r="19" spans="1:22" x14ac:dyDescent="0.35">
      <c r="A19" s="40" t="s">
        <v>23</v>
      </c>
      <c r="B19" s="19">
        <v>30</v>
      </c>
      <c r="C19" s="19">
        <v>13</v>
      </c>
      <c r="D19" s="19">
        <v>4</v>
      </c>
      <c r="E19" s="19">
        <v>1</v>
      </c>
      <c r="F19" s="19">
        <v>46</v>
      </c>
      <c r="G19" s="19">
        <v>27</v>
      </c>
      <c r="H19" s="19">
        <v>11</v>
      </c>
      <c r="I19" s="19">
        <v>3638</v>
      </c>
      <c r="J19" s="19">
        <v>71</v>
      </c>
      <c r="K19" s="19">
        <f t="shared" si="0"/>
        <v>0.42</v>
      </c>
      <c r="L19" s="20">
        <f t="shared" si="1"/>
        <v>1.4084507042253521E-2</v>
      </c>
      <c r="M19" s="20">
        <f t="shared" si="2"/>
        <v>5.6338028169014086E-2</v>
      </c>
      <c r="N19" s="19">
        <f t="shared" si="3"/>
        <v>0.65</v>
      </c>
      <c r="O19" s="19">
        <f t="shared" si="4"/>
        <v>0.38</v>
      </c>
      <c r="P19" s="19">
        <f t="shared" si="5"/>
        <v>0.15</v>
      </c>
      <c r="Q19" s="19">
        <f t="shared" si="6"/>
        <v>0.65</v>
      </c>
      <c r="R19" s="19">
        <f t="shared" si="7"/>
        <v>43.33</v>
      </c>
      <c r="S19" s="19">
        <f t="shared" si="8"/>
        <v>51.24</v>
      </c>
      <c r="T19" s="19" t="s">
        <v>42</v>
      </c>
      <c r="U19" s="19" t="s">
        <v>24</v>
      </c>
      <c r="V19" s="46">
        <f t="shared" si="9"/>
        <v>0.78072698984605304</v>
      </c>
    </row>
    <row r="20" spans="1:22" x14ac:dyDescent="0.35">
      <c r="A20" s="39" t="s">
        <v>33</v>
      </c>
      <c r="B20" s="17">
        <v>47</v>
      </c>
      <c r="C20" s="17">
        <v>36</v>
      </c>
      <c r="D20" s="17">
        <v>11</v>
      </c>
      <c r="E20" s="17">
        <v>4</v>
      </c>
      <c r="F20" s="17">
        <v>47</v>
      </c>
      <c r="G20" s="17">
        <v>146</v>
      </c>
      <c r="H20" s="17">
        <v>18</v>
      </c>
      <c r="I20" s="17">
        <v>5384</v>
      </c>
      <c r="J20" s="17">
        <v>71</v>
      </c>
      <c r="K20" s="16">
        <f t="shared" si="0"/>
        <v>0.66</v>
      </c>
      <c r="L20" s="18">
        <f t="shared" si="1"/>
        <v>5.6338028169014086E-2</v>
      </c>
      <c r="M20" s="18">
        <f t="shared" si="2"/>
        <v>0.15492957746478872</v>
      </c>
      <c r="N20" s="16">
        <f t="shared" si="3"/>
        <v>0.66</v>
      </c>
      <c r="O20" s="16">
        <f t="shared" si="4"/>
        <v>2.06</v>
      </c>
      <c r="P20" s="16">
        <f t="shared" si="5"/>
        <v>0.25</v>
      </c>
      <c r="Q20" s="16">
        <f t="shared" si="6"/>
        <v>1</v>
      </c>
      <c r="R20" s="16">
        <f t="shared" si="7"/>
        <v>76.599999999999994</v>
      </c>
      <c r="S20" s="16">
        <f t="shared" si="8"/>
        <v>75.83</v>
      </c>
      <c r="T20" s="17" t="s">
        <v>42</v>
      </c>
      <c r="U20" s="17" t="s">
        <v>24</v>
      </c>
      <c r="V20" s="46">
        <f t="shared" si="9"/>
        <v>1.0191976744186046</v>
      </c>
    </row>
    <row r="21" spans="1:22" x14ac:dyDescent="0.35">
      <c r="A21" s="39" t="s">
        <v>21</v>
      </c>
      <c r="B21" s="17">
        <v>26</v>
      </c>
      <c r="C21" s="17">
        <v>11</v>
      </c>
      <c r="D21" s="17">
        <v>3</v>
      </c>
      <c r="E21" s="17">
        <v>0</v>
      </c>
      <c r="F21" s="17">
        <v>52</v>
      </c>
      <c r="G21" s="17">
        <v>107</v>
      </c>
      <c r="H21" s="17">
        <v>8</v>
      </c>
      <c r="I21" s="17">
        <v>2900</v>
      </c>
      <c r="J21" s="17">
        <v>71</v>
      </c>
      <c r="K21" s="16">
        <f t="shared" si="0"/>
        <v>0.37</v>
      </c>
      <c r="L21" s="18">
        <f t="shared" si="1"/>
        <v>0</v>
      </c>
      <c r="M21" s="18">
        <f t="shared" si="2"/>
        <v>4.2253521126760563E-2</v>
      </c>
      <c r="N21" s="16">
        <f t="shared" si="3"/>
        <v>0.73</v>
      </c>
      <c r="O21" s="16">
        <f t="shared" si="4"/>
        <v>1.51</v>
      </c>
      <c r="P21" s="16">
        <f t="shared" si="5"/>
        <v>0.11</v>
      </c>
      <c r="Q21" s="16">
        <f t="shared" si="6"/>
        <v>0.5</v>
      </c>
      <c r="R21" s="16">
        <f t="shared" si="7"/>
        <v>42.309999999999995</v>
      </c>
      <c r="S21" s="16">
        <f t="shared" si="8"/>
        <v>40.85</v>
      </c>
      <c r="T21" s="17" t="s">
        <v>42</v>
      </c>
      <c r="U21" s="17" t="s">
        <v>24</v>
      </c>
      <c r="V21" s="46">
        <f t="shared" si="9"/>
        <v>0.62406338028169017</v>
      </c>
    </row>
    <row r="22" spans="1:22" x14ac:dyDescent="0.35">
      <c r="A22" s="48" t="s">
        <v>44</v>
      </c>
      <c r="B22" s="49">
        <v>3</v>
      </c>
      <c r="C22" s="49">
        <v>2</v>
      </c>
      <c r="D22" s="49">
        <v>1</v>
      </c>
      <c r="E22" s="49">
        <v>1</v>
      </c>
      <c r="F22" s="49">
        <v>12</v>
      </c>
      <c r="G22" s="49">
        <v>43</v>
      </c>
      <c r="H22" s="49">
        <v>0</v>
      </c>
      <c r="I22" s="49">
        <v>432</v>
      </c>
      <c r="J22" s="49">
        <v>16</v>
      </c>
      <c r="K22" s="50">
        <f t="shared" si="0"/>
        <v>0.19</v>
      </c>
      <c r="L22" s="51">
        <f t="shared" si="1"/>
        <v>6.25E-2</v>
      </c>
      <c r="M22" s="51">
        <f t="shared" si="2"/>
        <v>6.25E-2</v>
      </c>
      <c r="N22" s="50">
        <f t="shared" si="3"/>
        <v>0.75</v>
      </c>
      <c r="O22" s="50">
        <f t="shared" si="4"/>
        <v>2.69</v>
      </c>
      <c r="P22" s="50">
        <f t="shared" si="5"/>
        <v>0</v>
      </c>
      <c r="Q22" s="50">
        <f t="shared" si="6"/>
        <v>0.25</v>
      </c>
      <c r="R22" s="50">
        <f t="shared" si="7"/>
        <v>66.67</v>
      </c>
      <c r="S22" s="50">
        <f t="shared" si="8"/>
        <v>27</v>
      </c>
      <c r="T22" s="49" t="s">
        <v>45</v>
      </c>
      <c r="U22" s="49" t="s">
        <v>24</v>
      </c>
      <c r="V22" s="46">
        <f t="shared" si="9"/>
        <v>0.47970639534883719</v>
      </c>
    </row>
  </sheetData>
  <sortState xmlns:xlrd2="http://schemas.microsoft.com/office/spreadsheetml/2017/richdata2" ref="A2:V21">
    <sortCondition sortBy="cellColor" ref="A21" dxfId="0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2026-03-06T17:27:17Z</dcterms:modified>
</cp:coreProperties>
</file>