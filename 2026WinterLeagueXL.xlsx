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290F0006-CF56-4278-B456-3C1068F4CDA7}" xr6:coauthVersionLast="47" xr6:coauthVersionMax="47" xr10:uidLastSave="{00000000-0000-0000-0000-000000000000}"/>
  <bookViews>
    <workbookView xWindow="1125" yWindow="1125" windowWidth="26505" windowHeight="13665" activeTab="4" xr2:uid="{44E8176A-B14F-4FEE-87B9-53CEBFA849EB}"/>
  </bookViews>
  <sheets>
    <sheet name="Tourney" sheetId="1" r:id="rId1"/>
    <sheet name="Regular Season" sheetId="4" r:id="rId2"/>
    <sheet name="Playoffs" sheetId="3" r:id="rId3"/>
    <sheet name="QuarterFinals" sheetId="5" r:id="rId4"/>
    <sheet name="SemiFinals" sheetId="6" r:id="rId5"/>
    <sheet name="Final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3" l="1"/>
  <c r="R11" i="3"/>
  <c r="Q11" i="3"/>
  <c r="P11" i="3"/>
  <c r="O11" i="3"/>
  <c r="N11" i="3"/>
  <c r="M11" i="3"/>
  <c r="L11" i="3"/>
  <c r="K11" i="3"/>
  <c r="V11" i="3" s="1"/>
  <c r="S10" i="3"/>
  <c r="V10" i="3" s="1"/>
  <c r="R10" i="3"/>
  <c r="Q10" i="3"/>
  <c r="P10" i="3"/>
  <c r="O10" i="3"/>
  <c r="N10" i="3"/>
  <c r="M10" i="3"/>
  <c r="L10" i="3"/>
  <c r="K10" i="3"/>
  <c r="S5" i="3"/>
  <c r="R5" i="3"/>
  <c r="Q5" i="3"/>
  <c r="P5" i="3"/>
  <c r="O5" i="3"/>
  <c r="N5" i="3"/>
  <c r="M5" i="3"/>
  <c r="L5" i="3"/>
  <c r="K5" i="3"/>
  <c r="S4" i="3"/>
  <c r="R4" i="3"/>
  <c r="Q4" i="3"/>
  <c r="P4" i="3"/>
  <c r="O4" i="3"/>
  <c r="N4" i="3"/>
  <c r="M4" i="3"/>
  <c r="L4" i="3"/>
  <c r="K4" i="3"/>
  <c r="M7" i="5"/>
  <c r="S7" i="8"/>
  <c r="R7" i="8"/>
  <c r="Q7" i="8"/>
  <c r="P7" i="8"/>
  <c r="O7" i="8"/>
  <c r="N7" i="8"/>
  <c r="M7" i="8"/>
  <c r="L7" i="8"/>
  <c r="K7" i="8"/>
  <c r="S6" i="8"/>
  <c r="R6" i="8"/>
  <c r="Q6" i="8"/>
  <c r="P6" i="8"/>
  <c r="O6" i="8"/>
  <c r="N6" i="8"/>
  <c r="M6" i="8"/>
  <c r="L6" i="8"/>
  <c r="K6" i="8"/>
  <c r="S5" i="8"/>
  <c r="R5" i="8"/>
  <c r="Q5" i="8"/>
  <c r="P5" i="8"/>
  <c r="O5" i="8"/>
  <c r="N5" i="8"/>
  <c r="M5" i="8"/>
  <c r="L5" i="8"/>
  <c r="K5" i="8"/>
  <c r="S4" i="8"/>
  <c r="R4" i="8"/>
  <c r="Q4" i="8"/>
  <c r="P4" i="8"/>
  <c r="O4" i="8"/>
  <c r="N4" i="8"/>
  <c r="M4" i="8"/>
  <c r="L4" i="8"/>
  <c r="K4" i="8"/>
  <c r="S3" i="8"/>
  <c r="R3" i="8"/>
  <c r="Q3" i="8"/>
  <c r="P3" i="8"/>
  <c r="O3" i="8"/>
  <c r="N3" i="8"/>
  <c r="M3" i="8"/>
  <c r="L3" i="8"/>
  <c r="K3" i="8"/>
  <c r="S2" i="8"/>
  <c r="R2" i="8"/>
  <c r="Q2" i="8"/>
  <c r="P2" i="8"/>
  <c r="O2" i="8"/>
  <c r="N2" i="8"/>
  <c r="M2" i="8"/>
  <c r="L2" i="8"/>
  <c r="K2" i="8"/>
  <c r="S3" i="6"/>
  <c r="R3" i="6"/>
  <c r="Q3" i="6"/>
  <c r="P3" i="6"/>
  <c r="O3" i="6"/>
  <c r="N3" i="6"/>
  <c r="M3" i="6"/>
  <c r="L3" i="6"/>
  <c r="K3" i="6"/>
  <c r="S2" i="6"/>
  <c r="R2" i="6"/>
  <c r="Q2" i="6"/>
  <c r="P2" i="6"/>
  <c r="O2" i="6"/>
  <c r="N2" i="6"/>
  <c r="M2" i="6"/>
  <c r="L2" i="6"/>
  <c r="K2" i="6"/>
  <c r="S7" i="6"/>
  <c r="R7" i="6"/>
  <c r="Q7" i="6"/>
  <c r="P7" i="6"/>
  <c r="O7" i="6"/>
  <c r="N7" i="6"/>
  <c r="M7" i="6"/>
  <c r="L7" i="6"/>
  <c r="K7" i="6"/>
  <c r="S6" i="6"/>
  <c r="R6" i="6"/>
  <c r="Q6" i="6"/>
  <c r="P6" i="6"/>
  <c r="O6" i="6"/>
  <c r="N6" i="6"/>
  <c r="M6" i="6"/>
  <c r="L6" i="6"/>
  <c r="K6" i="6"/>
  <c r="S9" i="6"/>
  <c r="R9" i="6"/>
  <c r="Q9" i="6"/>
  <c r="P9" i="6"/>
  <c r="O9" i="6"/>
  <c r="N9" i="6"/>
  <c r="M9" i="6"/>
  <c r="L9" i="6"/>
  <c r="K9" i="6"/>
  <c r="S8" i="6"/>
  <c r="R8" i="6"/>
  <c r="Q8" i="6"/>
  <c r="P8" i="6"/>
  <c r="O8" i="6"/>
  <c r="N8" i="6"/>
  <c r="M8" i="6"/>
  <c r="L8" i="6"/>
  <c r="K8" i="6"/>
  <c r="S5" i="6"/>
  <c r="R5" i="6"/>
  <c r="Q5" i="6"/>
  <c r="P5" i="6"/>
  <c r="O5" i="6"/>
  <c r="N5" i="6"/>
  <c r="M5" i="6"/>
  <c r="L5" i="6"/>
  <c r="K5" i="6"/>
  <c r="S4" i="6"/>
  <c r="R4" i="6"/>
  <c r="Q4" i="6"/>
  <c r="P4" i="6"/>
  <c r="O4" i="6"/>
  <c r="N4" i="6"/>
  <c r="M4" i="6"/>
  <c r="L4" i="6"/>
  <c r="K4" i="6"/>
  <c r="S5" i="5"/>
  <c r="R5" i="5"/>
  <c r="Q5" i="5"/>
  <c r="P5" i="5"/>
  <c r="O5" i="5"/>
  <c r="N5" i="5"/>
  <c r="M5" i="5"/>
  <c r="L5" i="5"/>
  <c r="K5" i="5"/>
  <c r="S4" i="5"/>
  <c r="R4" i="5"/>
  <c r="Q4" i="5"/>
  <c r="P4" i="5"/>
  <c r="O4" i="5"/>
  <c r="N4" i="5"/>
  <c r="M4" i="5"/>
  <c r="L4" i="5"/>
  <c r="K4" i="5"/>
  <c r="S9" i="5"/>
  <c r="R9" i="5"/>
  <c r="Q9" i="5"/>
  <c r="P9" i="5"/>
  <c r="O9" i="5"/>
  <c r="N9" i="5"/>
  <c r="M9" i="5"/>
  <c r="L9" i="5"/>
  <c r="K9" i="5"/>
  <c r="S8" i="5"/>
  <c r="R8" i="5"/>
  <c r="Q8" i="5"/>
  <c r="P8" i="5"/>
  <c r="O8" i="5"/>
  <c r="N8" i="5"/>
  <c r="M8" i="5"/>
  <c r="L8" i="5"/>
  <c r="K8" i="5"/>
  <c r="S7" i="5"/>
  <c r="R7" i="5"/>
  <c r="Q7" i="5"/>
  <c r="P7" i="5"/>
  <c r="O7" i="5"/>
  <c r="N7" i="5"/>
  <c r="L7" i="5"/>
  <c r="K7" i="5"/>
  <c r="S6" i="5"/>
  <c r="R6" i="5"/>
  <c r="Q6" i="5"/>
  <c r="P6" i="5"/>
  <c r="O6" i="5"/>
  <c r="N6" i="5"/>
  <c r="M6" i="5"/>
  <c r="L6" i="5"/>
  <c r="K6" i="5"/>
  <c r="S3" i="5"/>
  <c r="R3" i="5"/>
  <c r="Q3" i="5"/>
  <c r="P3" i="5"/>
  <c r="O3" i="5"/>
  <c r="N3" i="5"/>
  <c r="M3" i="5"/>
  <c r="L3" i="5"/>
  <c r="K3" i="5"/>
  <c r="S2" i="5"/>
  <c r="R2" i="5"/>
  <c r="Q2" i="5"/>
  <c r="P2" i="5"/>
  <c r="O2" i="5"/>
  <c r="N2" i="5"/>
  <c r="M2" i="5"/>
  <c r="L2" i="5"/>
  <c r="K2" i="5"/>
  <c r="S22" i="4"/>
  <c r="R22" i="4"/>
  <c r="Q22" i="4"/>
  <c r="P22" i="4"/>
  <c r="O22" i="4"/>
  <c r="N22" i="4"/>
  <c r="M22" i="4"/>
  <c r="L22" i="4"/>
  <c r="K22" i="4"/>
  <c r="S21" i="4"/>
  <c r="R21" i="4"/>
  <c r="Q21" i="4"/>
  <c r="P21" i="4"/>
  <c r="O21" i="4"/>
  <c r="N21" i="4"/>
  <c r="M21" i="4"/>
  <c r="L21" i="4"/>
  <c r="K21" i="4"/>
  <c r="S20" i="4"/>
  <c r="R20" i="4"/>
  <c r="Q20" i="4"/>
  <c r="P20" i="4"/>
  <c r="O20" i="4"/>
  <c r="N20" i="4"/>
  <c r="M20" i="4"/>
  <c r="L20" i="4"/>
  <c r="K20" i="4"/>
  <c r="S19" i="4"/>
  <c r="R19" i="4"/>
  <c r="Q19" i="4"/>
  <c r="P19" i="4"/>
  <c r="O19" i="4"/>
  <c r="N19" i="4"/>
  <c r="M19" i="4"/>
  <c r="L19" i="4"/>
  <c r="K19" i="4"/>
  <c r="S18" i="4"/>
  <c r="R18" i="4"/>
  <c r="Q18" i="4"/>
  <c r="P18" i="4"/>
  <c r="O18" i="4"/>
  <c r="N18" i="4"/>
  <c r="M18" i="4"/>
  <c r="L18" i="4"/>
  <c r="K18" i="4"/>
  <c r="S17" i="4"/>
  <c r="R17" i="4"/>
  <c r="Q17" i="4"/>
  <c r="P17" i="4"/>
  <c r="O17" i="4"/>
  <c r="N17" i="4"/>
  <c r="M17" i="4"/>
  <c r="L17" i="4"/>
  <c r="K17" i="4"/>
  <c r="S16" i="4"/>
  <c r="R16" i="4"/>
  <c r="Q16" i="4"/>
  <c r="P16" i="4"/>
  <c r="O16" i="4"/>
  <c r="N16" i="4"/>
  <c r="M16" i="4"/>
  <c r="L16" i="4"/>
  <c r="K16" i="4"/>
  <c r="S15" i="4"/>
  <c r="R15" i="4"/>
  <c r="Q15" i="4"/>
  <c r="P15" i="4"/>
  <c r="O15" i="4"/>
  <c r="N15" i="4"/>
  <c r="M15" i="4"/>
  <c r="L15" i="4"/>
  <c r="K15" i="4"/>
  <c r="S14" i="4"/>
  <c r="R14" i="4"/>
  <c r="Q14" i="4"/>
  <c r="P14" i="4"/>
  <c r="O14" i="4"/>
  <c r="N14" i="4"/>
  <c r="M14" i="4"/>
  <c r="L14" i="4"/>
  <c r="K14" i="4"/>
  <c r="S13" i="4"/>
  <c r="R13" i="4"/>
  <c r="Q13" i="4"/>
  <c r="P13" i="4"/>
  <c r="O13" i="4"/>
  <c r="N13" i="4"/>
  <c r="M13" i="4"/>
  <c r="L13" i="4"/>
  <c r="K13" i="4"/>
  <c r="S12" i="4"/>
  <c r="R12" i="4"/>
  <c r="Q12" i="4"/>
  <c r="P12" i="4"/>
  <c r="O12" i="4"/>
  <c r="N12" i="4"/>
  <c r="M12" i="4"/>
  <c r="L12" i="4"/>
  <c r="K12" i="4"/>
  <c r="S11" i="4"/>
  <c r="R11" i="4"/>
  <c r="Q11" i="4"/>
  <c r="P11" i="4"/>
  <c r="O11" i="4"/>
  <c r="N11" i="4"/>
  <c r="M11" i="4"/>
  <c r="L11" i="4"/>
  <c r="K11" i="4"/>
  <c r="S10" i="4"/>
  <c r="R10" i="4"/>
  <c r="Q10" i="4"/>
  <c r="P10" i="4"/>
  <c r="O10" i="4"/>
  <c r="N10" i="4"/>
  <c r="M10" i="4"/>
  <c r="L10" i="4"/>
  <c r="K10" i="4"/>
  <c r="S7" i="4"/>
  <c r="R7" i="4"/>
  <c r="Q7" i="4"/>
  <c r="P7" i="4"/>
  <c r="O7" i="4"/>
  <c r="N7" i="4"/>
  <c r="M7" i="4"/>
  <c r="L7" i="4"/>
  <c r="K7" i="4"/>
  <c r="S6" i="4"/>
  <c r="R6" i="4"/>
  <c r="Q6" i="4"/>
  <c r="P6" i="4"/>
  <c r="O6" i="4"/>
  <c r="N6" i="4"/>
  <c r="M6" i="4"/>
  <c r="L6" i="4"/>
  <c r="K6" i="4"/>
  <c r="S3" i="4"/>
  <c r="R3" i="4"/>
  <c r="Q3" i="4"/>
  <c r="P3" i="4"/>
  <c r="O3" i="4"/>
  <c r="N3" i="4"/>
  <c r="M3" i="4"/>
  <c r="L3" i="4"/>
  <c r="K3" i="4"/>
  <c r="S2" i="4"/>
  <c r="R2" i="4"/>
  <c r="Q2" i="4"/>
  <c r="P2" i="4"/>
  <c r="O2" i="4"/>
  <c r="N2" i="4"/>
  <c r="M2" i="4"/>
  <c r="L2" i="4"/>
  <c r="K2" i="4"/>
  <c r="S9" i="4"/>
  <c r="R9" i="4"/>
  <c r="Q9" i="4"/>
  <c r="P9" i="4"/>
  <c r="O9" i="4"/>
  <c r="N9" i="4"/>
  <c r="M9" i="4"/>
  <c r="L9" i="4"/>
  <c r="K9" i="4"/>
  <c r="S8" i="4"/>
  <c r="R8" i="4"/>
  <c r="Q8" i="4"/>
  <c r="P8" i="4"/>
  <c r="O8" i="4"/>
  <c r="N8" i="4"/>
  <c r="M8" i="4"/>
  <c r="L8" i="4"/>
  <c r="K8" i="4"/>
  <c r="S5" i="4"/>
  <c r="R5" i="4"/>
  <c r="Q5" i="4"/>
  <c r="P5" i="4"/>
  <c r="O5" i="4"/>
  <c r="N5" i="4"/>
  <c r="M5" i="4"/>
  <c r="L5" i="4"/>
  <c r="K5" i="4"/>
  <c r="S4" i="4"/>
  <c r="R4" i="4"/>
  <c r="Q4" i="4"/>
  <c r="P4" i="4"/>
  <c r="O4" i="4"/>
  <c r="N4" i="4"/>
  <c r="M4" i="4"/>
  <c r="L4" i="4"/>
  <c r="K4" i="4"/>
  <c r="S13" i="3"/>
  <c r="R13" i="3"/>
  <c r="Q13" i="3"/>
  <c r="P13" i="3"/>
  <c r="O13" i="3"/>
  <c r="N13" i="3"/>
  <c r="M13" i="3"/>
  <c r="L13" i="3"/>
  <c r="K13" i="3"/>
  <c r="S12" i="3"/>
  <c r="R12" i="3"/>
  <c r="Q12" i="3"/>
  <c r="P12" i="3"/>
  <c r="O12" i="3"/>
  <c r="N12" i="3"/>
  <c r="M12" i="3"/>
  <c r="L12" i="3"/>
  <c r="K12" i="3"/>
  <c r="S3" i="3"/>
  <c r="R3" i="3"/>
  <c r="Q3" i="3"/>
  <c r="P3" i="3"/>
  <c r="O3" i="3"/>
  <c r="N3" i="3"/>
  <c r="M3" i="3"/>
  <c r="L3" i="3"/>
  <c r="K3" i="3"/>
  <c r="S2" i="3"/>
  <c r="R2" i="3"/>
  <c r="Q2" i="3"/>
  <c r="P2" i="3"/>
  <c r="O2" i="3"/>
  <c r="N2" i="3"/>
  <c r="M2" i="3"/>
  <c r="L2" i="3"/>
  <c r="K2" i="3"/>
  <c r="S9" i="3"/>
  <c r="R9" i="3"/>
  <c r="Q9" i="3"/>
  <c r="P9" i="3"/>
  <c r="O9" i="3"/>
  <c r="N9" i="3"/>
  <c r="M9" i="3"/>
  <c r="L9" i="3"/>
  <c r="K9" i="3"/>
  <c r="S8" i="3"/>
  <c r="R8" i="3"/>
  <c r="Q8" i="3"/>
  <c r="P8" i="3"/>
  <c r="O8" i="3"/>
  <c r="N8" i="3"/>
  <c r="M8" i="3"/>
  <c r="L8" i="3"/>
  <c r="K8" i="3"/>
  <c r="S7" i="3"/>
  <c r="R7" i="3"/>
  <c r="Q7" i="3"/>
  <c r="P7" i="3"/>
  <c r="O7" i="3"/>
  <c r="N7" i="3"/>
  <c r="M7" i="3"/>
  <c r="L7" i="3"/>
  <c r="K7" i="3"/>
  <c r="S6" i="3"/>
  <c r="R6" i="3"/>
  <c r="Q6" i="3"/>
  <c r="P6" i="3"/>
  <c r="O6" i="3"/>
  <c r="N6" i="3"/>
  <c r="M6" i="3"/>
  <c r="L6" i="3"/>
  <c r="K6" i="3"/>
  <c r="K22" i="1"/>
  <c r="L22" i="1"/>
  <c r="M22" i="1"/>
  <c r="N22" i="1"/>
  <c r="O22" i="1"/>
  <c r="P22" i="1"/>
  <c r="Q22" i="1"/>
  <c r="R22" i="1"/>
  <c r="S22" i="1"/>
  <c r="V5" i="3" l="1"/>
  <c r="V4" i="3"/>
  <c r="V5" i="4"/>
  <c r="V2" i="4"/>
  <c r="V6" i="8"/>
  <c r="V3" i="8"/>
  <c r="V2" i="8"/>
  <c r="V5" i="8"/>
  <c r="V7" i="8"/>
  <c r="V4" i="8"/>
  <c r="V3" i="6"/>
  <c r="V2" i="6"/>
  <c r="V7" i="6"/>
  <c r="V6" i="6"/>
  <c r="V8" i="5"/>
  <c r="V6" i="5"/>
  <c r="V18" i="4"/>
  <c r="V17" i="4"/>
  <c r="V15" i="4"/>
  <c r="V9" i="4"/>
  <c r="V7" i="4"/>
  <c r="V8" i="4"/>
  <c r="V20" i="4"/>
  <c r="V4" i="4"/>
  <c r="V10" i="4"/>
  <c r="V14" i="4"/>
  <c r="V22" i="4"/>
  <c r="V21" i="4"/>
  <c r="V6" i="4"/>
  <c r="V16" i="4"/>
  <c r="V3" i="4"/>
  <c r="V11" i="4"/>
  <c r="V19" i="4"/>
  <c r="V12" i="4"/>
  <c r="V13" i="4"/>
  <c r="V2" i="5"/>
  <c r="V9" i="6"/>
  <c r="V8" i="6"/>
  <c r="V4" i="6"/>
  <c r="V5" i="6"/>
  <c r="V5" i="5"/>
  <c r="V4" i="5"/>
  <c r="V9" i="5"/>
  <c r="V3" i="5"/>
  <c r="V7" i="5"/>
  <c r="V8" i="3"/>
  <c r="V2" i="3"/>
  <c r="V13" i="3"/>
  <c r="V3" i="3"/>
  <c r="V9" i="3"/>
  <c r="V12" i="3"/>
  <c r="V7" i="3"/>
  <c r="V6" i="3"/>
  <c r="V22" i="1"/>
  <c r="S14" i="1"/>
  <c r="L6" i="1"/>
  <c r="S15" i="1" l="1"/>
  <c r="R15" i="1"/>
  <c r="Q15" i="1"/>
  <c r="P15" i="1"/>
  <c r="O15" i="1"/>
  <c r="N15" i="1"/>
  <c r="M15" i="1"/>
  <c r="L15" i="1"/>
  <c r="K15" i="1"/>
  <c r="R14" i="1"/>
  <c r="Q14" i="1"/>
  <c r="P14" i="1"/>
  <c r="O14" i="1"/>
  <c r="N14" i="1"/>
  <c r="M14" i="1"/>
  <c r="L14" i="1"/>
  <c r="K14" i="1"/>
  <c r="S9" i="1"/>
  <c r="R9" i="1"/>
  <c r="Q9" i="1"/>
  <c r="P9" i="1"/>
  <c r="O9" i="1"/>
  <c r="N9" i="1"/>
  <c r="M9" i="1"/>
  <c r="L9" i="1"/>
  <c r="K9" i="1"/>
  <c r="S8" i="1"/>
  <c r="R8" i="1"/>
  <c r="Q8" i="1"/>
  <c r="P8" i="1"/>
  <c r="O8" i="1"/>
  <c r="N8" i="1"/>
  <c r="M8" i="1"/>
  <c r="L8" i="1"/>
  <c r="K8" i="1"/>
  <c r="S7" i="1"/>
  <c r="R7" i="1"/>
  <c r="Q7" i="1"/>
  <c r="P7" i="1"/>
  <c r="O7" i="1"/>
  <c r="N7" i="1"/>
  <c r="M7" i="1"/>
  <c r="L7" i="1"/>
  <c r="K7" i="1"/>
  <c r="S6" i="1"/>
  <c r="R6" i="1"/>
  <c r="Q6" i="1"/>
  <c r="P6" i="1"/>
  <c r="O6" i="1"/>
  <c r="N6" i="1"/>
  <c r="M6" i="1"/>
  <c r="K6" i="1"/>
  <c r="K4" i="1"/>
  <c r="L4" i="1"/>
  <c r="M4" i="1"/>
  <c r="N4" i="1"/>
  <c r="O4" i="1"/>
  <c r="P4" i="1"/>
  <c r="Q4" i="1"/>
  <c r="K5" i="1"/>
  <c r="L5" i="1"/>
  <c r="M5" i="1"/>
  <c r="N5" i="1"/>
  <c r="O5" i="1"/>
  <c r="P5" i="1"/>
  <c r="Q5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10" i="1"/>
  <c r="L10" i="1"/>
  <c r="M10" i="1"/>
  <c r="N10" i="1"/>
  <c r="O10" i="1"/>
  <c r="P10" i="1"/>
  <c r="Q10" i="1"/>
  <c r="K11" i="1"/>
  <c r="L11" i="1"/>
  <c r="M11" i="1"/>
  <c r="N11" i="1"/>
  <c r="O11" i="1"/>
  <c r="P11" i="1"/>
  <c r="Q11" i="1"/>
  <c r="K21" i="1"/>
  <c r="L21" i="1"/>
  <c r="M21" i="1"/>
  <c r="N21" i="1"/>
  <c r="O21" i="1"/>
  <c r="P21" i="1"/>
  <c r="Q21" i="1"/>
  <c r="K20" i="1"/>
  <c r="L20" i="1"/>
  <c r="M20" i="1"/>
  <c r="N20" i="1"/>
  <c r="O20" i="1"/>
  <c r="P20" i="1"/>
  <c r="Q20" i="1"/>
  <c r="K16" i="1"/>
  <c r="L16" i="1"/>
  <c r="M16" i="1"/>
  <c r="N16" i="1"/>
  <c r="O16" i="1"/>
  <c r="P16" i="1"/>
  <c r="Q16" i="1"/>
  <c r="K17" i="1"/>
  <c r="L17" i="1"/>
  <c r="M17" i="1"/>
  <c r="N17" i="1"/>
  <c r="O17" i="1"/>
  <c r="P17" i="1"/>
  <c r="Q17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S19" i="1"/>
  <c r="R19" i="1"/>
  <c r="S18" i="1"/>
  <c r="R18" i="1"/>
  <c r="S13" i="1"/>
  <c r="R13" i="1"/>
  <c r="S12" i="1"/>
  <c r="R12" i="1"/>
  <c r="S17" i="1"/>
  <c r="R17" i="1"/>
  <c r="S16" i="1"/>
  <c r="R16" i="1"/>
  <c r="S20" i="1"/>
  <c r="R20" i="1"/>
  <c r="S21" i="1"/>
  <c r="R21" i="1"/>
  <c r="S11" i="1"/>
  <c r="R11" i="1"/>
  <c r="S10" i="1"/>
  <c r="R10" i="1"/>
  <c r="S3" i="1"/>
  <c r="R3" i="1"/>
  <c r="S2" i="1"/>
  <c r="R2" i="1"/>
  <c r="S5" i="1"/>
  <c r="R5" i="1"/>
  <c r="S4" i="1"/>
  <c r="R4" i="1"/>
  <c r="V11" i="1" l="1"/>
  <c r="V6" i="1"/>
  <c r="V10" i="1"/>
  <c r="V17" i="1"/>
  <c r="V7" i="1"/>
  <c r="V15" i="1"/>
  <c r="V19" i="1"/>
  <c r="V8" i="1"/>
  <c r="V13" i="1"/>
  <c r="V2" i="1"/>
  <c r="V12" i="1"/>
  <c r="V21" i="1"/>
  <c r="V20" i="1"/>
  <c r="V18" i="1"/>
  <c r="V4" i="1"/>
  <c r="V14" i="1"/>
  <c r="V3" i="1"/>
  <c r="V9" i="1"/>
  <c r="V16" i="1"/>
  <c r="V5" i="1"/>
</calcChain>
</file>

<file path=xl/sharedStrings.xml><?xml version="1.0" encoding="utf-8"?>
<sst xmlns="http://schemas.openxmlformats.org/spreadsheetml/2006/main" count="466" uniqueCount="77">
  <si>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</si>
  <si>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</si>
  <si>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</si>
  <si>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</si>
  <si>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</si>
  <si>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</si>
  <si>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</si>
  <si>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</si>
  <si>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</si>
  <si>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</si>
  <si>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</si>
  <si>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</si>
  <si>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</si>
  <si>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</si>
  <si>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</si>
  <si>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</si>
  <si>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</si>
  <si>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</si>
  <si>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</si>
  <si>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</si>
  <si>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</si>
  <si>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</si>
  <si>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</si>
  <si>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</si>
  <si>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</si>
  <si>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</si>
  <si>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</si>
  <si>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</si>
  <si>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</si>
  <si>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</si>
  <si>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</si>
  <si>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</si>
  <si>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</si>
  <si>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</si>
  <si>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</si>
  <si>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</si>
  <si>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</si>
  <si>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</si>
  <si>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</si>
  <si>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</si>
  <si>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</si>
  <si>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</si>
  <si>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PadRating1.2</t>
  </si>
  <si>
    <t>Dmah</t>
  </si>
  <si>
    <t>nth</t>
  </si>
  <si>
    <t>3rd-4th</t>
  </si>
  <si>
    <t>5th-6th</t>
  </si>
  <si>
    <t>7th-10th</t>
  </si>
  <si>
    <t>34-25</t>
  </si>
  <si>
    <t>25-27</t>
  </si>
  <si>
    <t>37-29</t>
  </si>
  <si>
    <t>15-30</t>
  </si>
  <si>
    <t>K-D</t>
  </si>
  <si>
    <t>+/-</t>
  </si>
  <si>
    <t>+9</t>
  </si>
  <si>
    <t>+8</t>
  </si>
  <si>
    <t>Mooks</t>
  </si>
  <si>
    <t>LG</t>
  </si>
  <si>
    <t>Match 1:</t>
  </si>
  <si>
    <t>1v2s</t>
  </si>
  <si>
    <t>MultiKills</t>
  </si>
  <si>
    <t>Match 2:</t>
  </si>
  <si>
    <t>JewSpace</t>
  </si>
  <si>
    <t>CHUDS</t>
  </si>
  <si>
    <t>Burger</t>
  </si>
  <si>
    <t>Team B</t>
  </si>
  <si>
    <t>EVP</t>
  </si>
  <si>
    <t>30-13</t>
  </si>
  <si>
    <t>17-18</t>
  </si>
  <si>
    <t>21-22</t>
  </si>
  <si>
    <t>10-25</t>
  </si>
  <si>
    <t>33-33</t>
  </si>
  <si>
    <t>25-33</t>
  </si>
  <si>
    <t>31-32</t>
  </si>
  <si>
    <t>35-26</t>
  </si>
  <si>
    <t>4th</t>
  </si>
  <si>
    <t>1st-2nd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</si>
</sst>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EF3E88"/>
      <name val="Aptos Narrow"/>
      <family val="2"/>
      <scheme val="minor"/>
    </font>
    <font>
      <sz val="11"/>
      <color rgb="FF0038B8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501C75"/>
      <name val="Aptos Narrow"/>
      <family val="2"/>
      <scheme val="minor"/>
    </font>
    <font>
      <sz val="11"/>
      <color rgb="FFF3A602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15" borderId="0" applyNumberFormat="0" applyBorder="0" applyAlignment="0" applyProtection="0"/>
    <xf numFmtId="0" fontId="9" fillId="16" borderId="0" applyNumberFormat="0" applyBorder="0" applyAlignment="0" applyProtection="0"/>
  </cellStyleXfs>
  <cellXfs count="82">
    <xf numFmtId="0" fontId="0" fillId="0" borderId="0" xfId="0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  <xf numFmtId="2" fontId="5" fillId="3" borderId="0" xfId="0" applyNumberFormat="1" applyFont="1" applyFill="1" applyAlignment="1">
      <alignment horizontal="center"/>
    </xf>
    <xf numFmtId="0" fontId="0" fillId="14" borderId="0" xfId="0" applyFill="1"/>
    <xf numFmtId="0" fontId="0" fillId="14" borderId="0" xfId="0" applyFill="1" applyAlignment="1">
      <alignment horizontal="center"/>
    </xf>
    <xf numFmtId="0" fontId="4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16" fontId="4" fillId="5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0" fillId="17" borderId="0" xfId="0" applyFill="1" applyAlignment="1">
      <alignment horizontal="center"/>
    </xf>
    <xf numFmtId="0" fontId="0" fillId="17" borderId="0" xfId="0" quotePrefix="1" applyFill="1" applyAlignment="1">
      <alignment horizontal="center"/>
    </xf>
    <xf numFmtId="0" fontId="2" fillId="17" borderId="0" xfId="0" applyFont="1" applyFill="1" applyAlignment="1">
      <alignment horizontal="center"/>
    </xf>
    <xf numFmtId="0" fontId="0" fillId="17" borderId="0" xfId="0" applyFill="1"/>
    <xf numFmtId="0" fontId="8" fillId="17" borderId="0" xfId="1" quotePrefix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5" fillId="17" borderId="0" xfId="0" applyNumberFormat="1" applyFont="1" applyFill="1" applyAlignment="1">
      <alignment horizontal="center"/>
    </xf>
    <xf numFmtId="0" fontId="9" fillId="17" borderId="0" xfId="2" applyFill="1" applyAlignment="1">
      <alignment horizontal="center"/>
    </xf>
    <xf numFmtId="0" fontId="11" fillId="17" borderId="0" xfId="0" applyFont="1" applyFill="1" applyAlignment="1">
      <alignment horizontal="center"/>
    </xf>
    <xf numFmtId="0" fontId="10" fillId="17" borderId="0" xfId="0" applyFont="1" applyFill="1" applyAlignment="1">
      <alignment horizontal="center"/>
    </xf>
    <xf numFmtId="0" fontId="3" fillId="17" borderId="0" xfId="0" applyFont="1" applyFill="1" applyAlignment="1">
      <alignment horizontal="center"/>
    </xf>
    <xf numFmtId="0" fontId="0" fillId="17" borderId="0" xfId="0" quotePrefix="1" applyFill="1"/>
    <xf numFmtId="0" fontId="12" fillId="17" borderId="0" xfId="0" applyFont="1" applyFill="1" applyAlignment="1">
      <alignment horizontal="center"/>
    </xf>
    <xf numFmtId="0" fontId="13" fillId="17" borderId="0" xfId="0" applyFont="1" applyFill="1" applyAlignment="1">
      <alignment horizontal="center"/>
    </xf>
    <xf numFmtId="0" fontId="15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/>
    </xf>
    <xf numFmtId="0" fontId="16" fillId="17" borderId="0" xfId="0" applyFont="1" applyFill="1" applyAlignment="1">
      <alignment horizontal="center"/>
    </xf>
    <xf numFmtId="16" fontId="0" fillId="17" borderId="0" xfId="0" quotePrefix="1" applyNumberFormat="1" applyFill="1" applyAlignment="1">
      <alignment horizontal="center"/>
    </xf>
    <xf numFmtId="16" fontId="4" fillId="0" borderId="0" xfId="0" applyNumberFormat="1" applyFont="1" applyAlignment="1">
      <alignment horizontal="center"/>
    </xf>
    <xf numFmtId="0" fontId="14" fillId="17" borderId="0" xfId="2" applyFont="1" applyFill="1" applyAlignment="1">
      <alignment horizontal="center"/>
    </xf>
  </cellXfs>
  <cellStyles count="3">
    <cellStyle name="Bad" xfId="2" builtinId="27"/>
    <cellStyle name="Good" xfId="1" builtinId="26"/>
    <cellStyle name="Normal" xfId="0" builtinId="0"/>
  </cellStyles>
  <dxfs count="10">
    <dxf>
      <fill>
        <patternFill patternType="solid">
          <fgColor rgb="FF501C75"/>
          <bgColor rgb="FF000000"/>
        </patternFill>
      </fill>
    </dxf>
    <dxf>
      <fill>
        <patternFill patternType="solid">
          <fgColor rgb="FF501C75"/>
          <bgColor rgb="FF000000"/>
        </patternFill>
      </fill>
    </dxf>
    <dxf>
      <fill>
        <patternFill patternType="solid">
          <fgColor rgb="FF4EA72E"/>
          <bgColor rgb="FF000000"/>
        </patternFill>
      </fill>
    </dxf>
    <dxf>
      <fill>
        <patternFill patternType="solid">
          <fgColor rgb="FF4EA72E"/>
          <bgColor rgb="FF000000"/>
        </patternFill>
      </fill>
    </dxf>
    <dxf>
      <fill>
        <patternFill patternType="solid">
          <fgColor rgb="FF501C75"/>
          <bgColor rgb="FF000000"/>
        </patternFill>
      </fill>
    </dxf>
    <dxf>
      <fill>
        <patternFill patternType="solid">
          <fgColor rgb="FF501C75"/>
          <bgColor rgb="FF000000"/>
        </patternFill>
      </fill>
    </dxf>
    <dxf>
      <fill>
        <patternFill patternType="solid">
          <fgColor rgb="FF4EA72E"/>
          <bgColor rgb="FF000000"/>
        </patternFill>
      </fill>
    </dxf>
    <dxf>
      <fill>
        <patternFill patternType="solid">
          <fgColor rgb="FF4EA72E"/>
          <bgColor rgb="FF000000"/>
        </patternFill>
      </fill>
    </dxf>
    <dxf>
      <fill>
        <patternFill patternType="solid">
          <fgColor rgb="FF4EA72E"/>
          <bgColor rgb="FF000000"/>
        </patternFill>
      </fill>
    </dxf>
    <dxf>
      <fill>
        <patternFill patternType="solid">
          <fgColor rgb="FF4EA72E"/>
          <bgColor rgb="FF000000"/>
        </patternFill>
      </fill>
    </dxf>
  </dxfs>
  <tableStyles count="0" defaultTableStyle="TableStyleMedium2" defaultPivotStyle="PivotStyleLight16"/>
  <colors>
    <mruColors>
      <color rgb="FFF3A602"/>
      <color rgb="FF501C75"/>
      <color rgb="FF0038B8"/>
      <color rgb="FFEF3E88"/>
      <color rgb="FFF87D18"/>
      <color rgb="FFDF060A"/>
      <color rgb="FF56260B"/>
      <color rgb="FF7D86E0"/>
      <color rgb="FF1A3C8E"/>
      <color rgb="FFCF5B1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2"/>
  <sheetViews>
    <sheetView showGridLines="0" zoomScaleNormal="100" workbookViewId="0">
      <selection activeCell="T8" sqref="T8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6" t="s">
        <v>31</v>
      </c>
      <c r="B2" s="9">
        <v>176</v>
      </c>
      <c r="C2" s="9">
        <v>87</v>
      </c>
      <c r="D2" s="9">
        <v>48</v>
      </c>
      <c r="E2" s="9">
        <v>16</v>
      </c>
      <c r="F2" s="9">
        <v>138</v>
      </c>
      <c r="G2" s="9">
        <v>901</v>
      </c>
      <c r="H2" s="9">
        <v>59</v>
      </c>
      <c r="I2" s="9">
        <v>20801</v>
      </c>
      <c r="J2" s="9">
        <v>241</v>
      </c>
      <c r="K2" s="9">
        <f t="shared" ref="K2:K22" si="0">ROUND(IMDIV(B2,J2),2)</f>
        <v>0.73</v>
      </c>
      <c r="L2" s="11">
        <f t="shared" ref="L2:L22" si="1">E2/J2</f>
        <v>6.6390041493775934E-2</v>
      </c>
      <c r="M2" s="11">
        <f t="shared" ref="M2:M22" si="2">D2/J2</f>
        <v>0.19917012448132779</v>
      </c>
      <c r="N2" s="9">
        <f t="shared" ref="N2:N22" si="3">ROUND(IMDIV(F2,J2),2)</f>
        <v>0.56999999999999995</v>
      </c>
      <c r="O2" s="9">
        <f t="shared" ref="O2:O22" si="4">ROUND(IMDIV(G2,J2),2)</f>
        <v>3.74</v>
      </c>
      <c r="P2" s="9">
        <f t="shared" ref="P2:P22" si="5">ROUND(IMDIV(H2,J2),2)</f>
        <v>0.24</v>
      </c>
      <c r="Q2" s="9">
        <f t="shared" ref="Q2:Q22" si="6">ROUND(IMDIV(B2,F2),2)</f>
        <v>1.28</v>
      </c>
      <c r="R2" s="9">
        <f t="shared" ref="R2:R22" si="7">ROUND(IMDIV(C2,B2),4)*100</f>
        <v>49.43</v>
      </c>
      <c r="S2" s="9">
        <f t="shared" ref="S2:S22" si="8">ROUND(IMDIV(I2,J2),2)</f>
        <v>86.31</v>
      </c>
      <c r="T2" s="9" t="s">
        <v>76</v>
      </c>
      <c r="U2" s="10" t="s">
        <v>24</v>
      </c>
      <c r="V2" s="45">
        <f t="shared" ref="V2:V22" si="9">((K2/2.5)+(M2/4)+(L2/5)-(N2)+(S2/215)+(P2/20))+1</f>
        <v>1.1985123998842035</v>
      </c>
    </row>
    <row r="3" spans="1:22" x14ac:dyDescent="0.25">
      <c r="A3" s="36" t="s">
        <v>32</v>
      </c>
      <c r="B3" s="9">
        <v>142</v>
      </c>
      <c r="C3" s="9">
        <v>57</v>
      </c>
      <c r="D3" s="9">
        <v>31</v>
      </c>
      <c r="E3" s="9">
        <v>15</v>
      </c>
      <c r="F3" s="9">
        <v>141</v>
      </c>
      <c r="G3" s="9">
        <v>1184</v>
      </c>
      <c r="H3" s="9">
        <v>28</v>
      </c>
      <c r="I3" s="9">
        <v>15017</v>
      </c>
      <c r="J3" s="9">
        <v>241</v>
      </c>
      <c r="K3" s="9">
        <f t="shared" si="0"/>
        <v>0.59</v>
      </c>
      <c r="L3" s="11">
        <f t="shared" si="1"/>
        <v>6.2240663900414939E-2</v>
      </c>
      <c r="M3" s="11">
        <f t="shared" si="2"/>
        <v>0.12863070539419086</v>
      </c>
      <c r="N3" s="9">
        <f t="shared" si="3"/>
        <v>0.59</v>
      </c>
      <c r="O3" s="9">
        <f t="shared" si="4"/>
        <v>4.91</v>
      </c>
      <c r="P3" s="9">
        <f t="shared" si="5"/>
        <v>0.12</v>
      </c>
      <c r="Q3" s="9">
        <f t="shared" si="6"/>
        <v>1.01</v>
      </c>
      <c r="R3" s="9">
        <f t="shared" si="7"/>
        <v>40.14</v>
      </c>
      <c r="S3" s="9">
        <f t="shared" si="8"/>
        <v>62.31</v>
      </c>
      <c r="T3" s="9" t="s">
        <v>76</v>
      </c>
      <c r="U3" s="10" t="s">
        <v>24</v>
      </c>
      <c r="V3" s="45">
        <f t="shared" si="9"/>
        <v>0.98641976261700282</v>
      </c>
    </row>
    <row r="4" spans="1:22" x14ac:dyDescent="0.25">
      <c r="A4" s="35" t="s">
        <v>28</v>
      </c>
      <c r="B4" s="6">
        <v>112</v>
      </c>
      <c r="C4" s="6">
        <v>73</v>
      </c>
      <c r="D4" s="6">
        <v>32</v>
      </c>
      <c r="E4" s="6">
        <v>8</v>
      </c>
      <c r="F4" s="6">
        <v>55</v>
      </c>
      <c r="G4" s="6">
        <v>668</v>
      </c>
      <c r="H4" s="6">
        <v>31</v>
      </c>
      <c r="I4" s="6">
        <v>12100</v>
      </c>
      <c r="J4" s="6">
        <v>118</v>
      </c>
      <c r="K4" s="6">
        <f t="shared" si="0"/>
        <v>0.95</v>
      </c>
      <c r="L4" s="7">
        <f t="shared" si="1"/>
        <v>6.7796610169491525E-2</v>
      </c>
      <c r="M4" s="7">
        <f t="shared" si="2"/>
        <v>0.2711864406779661</v>
      </c>
      <c r="N4" s="6">
        <f t="shared" si="3"/>
        <v>0.47</v>
      </c>
      <c r="O4" s="6">
        <f t="shared" si="4"/>
        <v>5.66</v>
      </c>
      <c r="P4" s="6">
        <f t="shared" si="5"/>
        <v>0.26</v>
      </c>
      <c r="Q4" s="6">
        <f t="shared" si="6"/>
        <v>2.04</v>
      </c>
      <c r="R4" s="6">
        <f t="shared" si="7"/>
        <v>65.180000000000007</v>
      </c>
      <c r="S4" s="6">
        <f t="shared" si="8"/>
        <v>102.54</v>
      </c>
      <c r="T4" s="6" t="s">
        <v>45</v>
      </c>
      <c r="U4" s="8" t="s">
        <v>24</v>
      </c>
      <c r="V4" s="45">
        <f t="shared" si="9"/>
        <v>1.4812861647615294</v>
      </c>
    </row>
    <row r="5" spans="1:22" x14ac:dyDescent="0.25">
      <c r="A5" s="35" t="s">
        <v>27</v>
      </c>
      <c r="B5" s="6">
        <v>57</v>
      </c>
      <c r="C5" s="6">
        <v>29</v>
      </c>
      <c r="D5" s="6">
        <v>10</v>
      </c>
      <c r="E5" s="6">
        <v>2</v>
      </c>
      <c r="F5" s="6">
        <v>72</v>
      </c>
      <c r="G5" s="6">
        <v>41</v>
      </c>
      <c r="H5" s="6">
        <v>14</v>
      </c>
      <c r="I5" s="6">
        <v>6117</v>
      </c>
      <c r="J5" s="6">
        <v>118</v>
      </c>
      <c r="K5" s="6">
        <f t="shared" si="0"/>
        <v>0.48</v>
      </c>
      <c r="L5" s="7">
        <f t="shared" si="1"/>
        <v>1.6949152542372881E-2</v>
      </c>
      <c r="M5" s="7">
        <f t="shared" si="2"/>
        <v>8.4745762711864403E-2</v>
      </c>
      <c r="N5" s="6">
        <f t="shared" si="3"/>
        <v>0.61</v>
      </c>
      <c r="O5" s="6">
        <f t="shared" si="4"/>
        <v>0.35</v>
      </c>
      <c r="P5" s="6">
        <f t="shared" si="5"/>
        <v>0.12</v>
      </c>
      <c r="Q5" s="6">
        <f t="shared" si="6"/>
        <v>0.79</v>
      </c>
      <c r="R5" s="6">
        <f t="shared" si="7"/>
        <v>50.88</v>
      </c>
      <c r="S5" s="6">
        <f t="shared" si="8"/>
        <v>51.84</v>
      </c>
      <c r="T5" s="6" t="s">
        <v>45</v>
      </c>
      <c r="U5" s="8" t="s">
        <v>24</v>
      </c>
      <c r="V5" s="45">
        <f t="shared" si="9"/>
        <v>0.85369255025620816</v>
      </c>
    </row>
    <row r="6" spans="1:22" x14ac:dyDescent="0.25">
      <c r="A6" s="42" t="s">
        <v>37</v>
      </c>
      <c r="B6" s="26">
        <v>136</v>
      </c>
      <c r="C6" s="26">
        <v>68</v>
      </c>
      <c r="D6" s="26">
        <v>29</v>
      </c>
      <c r="E6" s="26">
        <v>20</v>
      </c>
      <c r="F6" s="26">
        <v>84</v>
      </c>
      <c r="G6" s="26">
        <v>333</v>
      </c>
      <c r="H6" s="26">
        <v>48</v>
      </c>
      <c r="I6" s="26">
        <v>14847</v>
      </c>
      <c r="J6" s="26">
        <v>168</v>
      </c>
      <c r="K6" s="27">
        <f t="shared" si="0"/>
        <v>0.81</v>
      </c>
      <c r="L6" s="28">
        <f t="shared" si="1"/>
        <v>0.11904761904761904</v>
      </c>
      <c r="M6" s="28">
        <f t="shared" si="2"/>
        <v>0.17261904761904762</v>
      </c>
      <c r="N6" s="27">
        <f t="shared" si="3"/>
        <v>0.5</v>
      </c>
      <c r="O6" s="27">
        <f t="shared" si="4"/>
        <v>1.98</v>
      </c>
      <c r="P6" s="27">
        <f t="shared" si="5"/>
        <v>0.28999999999999998</v>
      </c>
      <c r="Q6" s="27">
        <f t="shared" si="6"/>
        <v>1.62</v>
      </c>
      <c r="R6" s="27">
        <f t="shared" si="7"/>
        <v>50</v>
      </c>
      <c r="S6" s="27">
        <f t="shared" si="8"/>
        <v>88.38</v>
      </c>
      <c r="T6" s="26" t="s">
        <v>45</v>
      </c>
      <c r="U6" s="26" t="s">
        <v>24</v>
      </c>
      <c r="V6" s="45">
        <f t="shared" si="9"/>
        <v>1.3165340531561462</v>
      </c>
    </row>
    <row r="7" spans="1:22" x14ac:dyDescent="0.25">
      <c r="A7" s="42" t="s">
        <v>38</v>
      </c>
      <c r="B7" s="26">
        <v>87</v>
      </c>
      <c r="C7" s="26">
        <v>37</v>
      </c>
      <c r="D7" s="26">
        <v>13</v>
      </c>
      <c r="E7" s="26">
        <v>2</v>
      </c>
      <c r="F7" s="26">
        <v>98</v>
      </c>
      <c r="G7" s="26">
        <v>436</v>
      </c>
      <c r="H7" s="26">
        <v>53</v>
      </c>
      <c r="I7" s="26">
        <v>9979</v>
      </c>
      <c r="J7" s="26">
        <v>157</v>
      </c>
      <c r="K7" s="27">
        <f t="shared" si="0"/>
        <v>0.55000000000000004</v>
      </c>
      <c r="L7" s="28">
        <f t="shared" si="1"/>
        <v>1.2738853503184714E-2</v>
      </c>
      <c r="M7" s="28">
        <f t="shared" si="2"/>
        <v>8.2802547770700632E-2</v>
      </c>
      <c r="N7" s="27">
        <f t="shared" si="3"/>
        <v>0.62</v>
      </c>
      <c r="O7" s="27">
        <f t="shared" si="4"/>
        <v>2.78</v>
      </c>
      <c r="P7" s="27">
        <f t="shared" si="5"/>
        <v>0.34</v>
      </c>
      <c r="Q7" s="27">
        <f t="shared" si="6"/>
        <v>0.89</v>
      </c>
      <c r="R7" s="27">
        <f t="shared" si="7"/>
        <v>42.53</v>
      </c>
      <c r="S7" s="27">
        <f t="shared" si="8"/>
        <v>63.56</v>
      </c>
      <c r="T7" s="26" t="s">
        <v>45</v>
      </c>
      <c r="U7" s="26" t="s">
        <v>24</v>
      </c>
      <c r="V7" s="45">
        <f t="shared" si="9"/>
        <v>0.93587631462005627</v>
      </c>
    </row>
    <row r="8" spans="1:22" x14ac:dyDescent="0.25">
      <c r="A8" s="43" t="s">
        <v>39</v>
      </c>
      <c r="B8" s="29">
        <v>141</v>
      </c>
      <c r="C8" s="29">
        <v>79</v>
      </c>
      <c r="D8" s="29">
        <v>42</v>
      </c>
      <c r="E8" s="29">
        <v>13</v>
      </c>
      <c r="F8" s="29">
        <v>93</v>
      </c>
      <c r="G8" s="29">
        <v>844</v>
      </c>
      <c r="H8" s="29">
        <v>17</v>
      </c>
      <c r="I8" s="29">
        <v>16232</v>
      </c>
      <c r="J8" s="29">
        <v>171</v>
      </c>
      <c r="K8" s="30">
        <f t="shared" si="0"/>
        <v>0.82</v>
      </c>
      <c r="L8" s="31">
        <f t="shared" si="1"/>
        <v>7.6023391812865493E-2</v>
      </c>
      <c r="M8" s="31">
        <f t="shared" si="2"/>
        <v>0.24561403508771928</v>
      </c>
      <c r="N8" s="30">
        <f t="shared" si="3"/>
        <v>0.54</v>
      </c>
      <c r="O8" s="30">
        <f t="shared" si="4"/>
        <v>4.9400000000000004</v>
      </c>
      <c r="P8" s="30">
        <f t="shared" si="5"/>
        <v>0.1</v>
      </c>
      <c r="Q8" s="30">
        <f t="shared" si="6"/>
        <v>1.52</v>
      </c>
      <c r="R8" s="30">
        <f t="shared" si="7"/>
        <v>56.03</v>
      </c>
      <c r="S8" s="30">
        <f t="shared" si="8"/>
        <v>94.92</v>
      </c>
      <c r="T8" s="29" t="s">
        <v>75</v>
      </c>
      <c r="U8" s="29" t="s">
        <v>24</v>
      </c>
      <c r="V8" s="45">
        <f t="shared" si="9"/>
        <v>1.3110965592275261</v>
      </c>
    </row>
    <row r="9" spans="1:22" x14ac:dyDescent="0.25">
      <c r="A9" s="43" t="s">
        <v>40</v>
      </c>
      <c r="B9" s="29">
        <v>75</v>
      </c>
      <c r="C9" s="29">
        <v>31</v>
      </c>
      <c r="D9" s="29">
        <v>10</v>
      </c>
      <c r="E9" s="29">
        <v>4</v>
      </c>
      <c r="F9" s="29">
        <v>100</v>
      </c>
      <c r="G9" s="29">
        <v>339</v>
      </c>
      <c r="H9" s="29">
        <v>34</v>
      </c>
      <c r="I9" s="29">
        <v>8454</v>
      </c>
      <c r="J9" s="29">
        <v>171</v>
      </c>
      <c r="K9" s="30">
        <f t="shared" si="0"/>
        <v>0.44</v>
      </c>
      <c r="L9" s="31">
        <f t="shared" si="1"/>
        <v>2.3391812865497075E-2</v>
      </c>
      <c r="M9" s="31">
        <f t="shared" si="2"/>
        <v>5.8479532163742687E-2</v>
      </c>
      <c r="N9" s="30">
        <f t="shared" si="3"/>
        <v>0.57999999999999996</v>
      </c>
      <c r="O9" s="30">
        <f t="shared" si="4"/>
        <v>1.98</v>
      </c>
      <c r="P9" s="30">
        <f t="shared" si="5"/>
        <v>0.2</v>
      </c>
      <c r="Q9" s="30">
        <f t="shared" si="6"/>
        <v>0.75</v>
      </c>
      <c r="R9" s="30">
        <f t="shared" si="7"/>
        <v>41.33</v>
      </c>
      <c r="S9" s="30">
        <f t="shared" si="8"/>
        <v>49.44</v>
      </c>
      <c r="T9" s="29" t="s">
        <v>75</v>
      </c>
      <c r="U9" s="29" t="s">
        <v>24</v>
      </c>
      <c r="V9" s="45">
        <f t="shared" si="9"/>
        <v>0.85525173398612808</v>
      </c>
    </row>
    <row r="10" spans="1:22" x14ac:dyDescent="0.25">
      <c r="A10" s="37" t="s">
        <v>29</v>
      </c>
      <c r="B10" s="12">
        <v>114</v>
      </c>
      <c r="C10" s="12">
        <v>52</v>
      </c>
      <c r="D10" s="12">
        <v>29</v>
      </c>
      <c r="E10" s="12">
        <v>7</v>
      </c>
      <c r="F10" s="12">
        <v>82</v>
      </c>
      <c r="G10" s="12">
        <v>423</v>
      </c>
      <c r="H10" s="12">
        <v>18</v>
      </c>
      <c r="I10" s="12">
        <v>14021</v>
      </c>
      <c r="J10" s="12">
        <v>148</v>
      </c>
      <c r="K10" s="12">
        <f t="shared" si="0"/>
        <v>0.77</v>
      </c>
      <c r="L10" s="13">
        <f t="shared" si="1"/>
        <v>4.72972972972973E-2</v>
      </c>
      <c r="M10" s="13">
        <f t="shared" si="2"/>
        <v>0.19594594594594594</v>
      </c>
      <c r="N10" s="12">
        <f t="shared" si="3"/>
        <v>0.55000000000000004</v>
      </c>
      <c r="O10" s="12">
        <f t="shared" si="4"/>
        <v>2.86</v>
      </c>
      <c r="P10" s="12">
        <f t="shared" si="5"/>
        <v>0.12</v>
      </c>
      <c r="Q10" s="12">
        <f t="shared" si="6"/>
        <v>1.39</v>
      </c>
      <c r="R10" s="12">
        <f t="shared" si="7"/>
        <v>45.61</v>
      </c>
      <c r="S10" s="12">
        <f t="shared" si="8"/>
        <v>94.74</v>
      </c>
      <c r="T10" s="51" t="s">
        <v>46</v>
      </c>
      <c r="U10" s="14" t="s">
        <v>24</v>
      </c>
      <c r="V10" s="45">
        <f t="shared" si="9"/>
        <v>1.2630971087366436</v>
      </c>
    </row>
    <row r="11" spans="1:22" x14ac:dyDescent="0.25">
      <c r="A11" s="37" t="s">
        <v>30</v>
      </c>
      <c r="B11" s="12">
        <v>70</v>
      </c>
      <c r="C11" s="12">
        <v>39</v>
      </c>
      <c r="D11" s="12">
        <v>11</v>
      </c>
      <c r="E11" s="12">
        <v>3</v>
      </c>
      <c r="F11" s="12">
        <v>91</v>
      </c>
      <c r="G11" s="12">
        <v>145</v>
      </c>
      <c r="H11" s="12">
        <v>23</v>
      </c>
      <c r="I11" s="12">
        <v>7557</v>
      </c>
      <c r="J11" s="12">
        <v>148</v>
      </c>
      <c r="K11" s="12">
        <f t="shared" si="0"/>
        <v>0.47</v>
      </c>
      <c r="L11" s="13">
        <f t="shared" si="1"/>
        <v>2.0270270270270271E-2</v>
      </c>
      <c r="M11" s="13">
        <f t="shared" si="2"/>
        <v>7.4324324324324328E-2</v>
      </c>
      <c r="N11" s="12">
        <f t="shared" si="3"/>
        <v>0.61</v>
      </c>
      <c r="O11" s="12">
        <f t="shared" si="4"/>
        <v>0.98</v>
      </c>
      <c r="P11" s="12">
        <f t="shared" si="5"/>
        <v>0.16</v>
      </c>
      <c r="Q11" s="12">
        <f t="shared" si="6"/>
        <v>0.77</v>
      </c>
      <c r="R11" s="12">
        <f t="shared" si="7"/>
        <v>55.71</v>
      </c>
      <c r="S11" s="12">
        <f t="shared" si="8"/>
        <v>51.06</v>
      </c>
      <c r="T11" s="51" t="s">
        <v>46</v>
      </c>
      <c r="U11" s="14" t="s">
        <v>24</v>
      </c>
      <c r="V11" s="45">
        <f t="shared" si="9"/>
        <v>0.84612350722815843</v>
      </c>
    </row>
    <row r="12" spans="1:22" x14ac:dyDescent="0.25">
      <c r="A12" s="40" t="s">
        <v>34</v>
      </c>
      <c r="B12" s="50">
        <v>129</v>
      </c>
      <c r="C12" s="50">
        <v>86</v>
      </c>
      <c r="D12" s="50">
        <v>36</v>
      </c>
      <c r="E12" s="50">
        <v>12</v>
      </c>
      <c r="F12" s="50">
        <v>108</v>
      </c>
      <c r="G12" s="50">
        <v>895</v>
      </c>
      <c r="H12" s="50">
        <v>41</v>
      </c>
      <c r="I12" s="50">
        <v>14207</v>
      </c>
      <c r="J12" s="50">
        <v>181</v>
      </c>
      <c r="K12" s="20">
        <f t="shared" si="0"/>
        <v>0.71</v>
      </c>
      <c r="L12" s="21">
        <f t="shared" si="1"/>
        <v>6.6298342541436461E-2</v>
      </c>
      <c r="M12" s="21">
        <f t="shared" si="2"/>
        <v>0.19889502762430938</v>
      </c>
      <c r="N12" s="20">
        <f t="shared" si="3"/>
        <v>0.6</v>
      </c>
      <c r="O12" s="20">
        <f t="shared" si="4"/>
        <v>4.9400000000000004</v>
      </c>
      <c r="P12" s="20">
        <f t="shared" si="5"/>
        <v>0.23</v>
      </c>
      <c r="Q12" s="20">
        <f t="shared" si="6"/>
        <v>1.19</v>
      </c>
      <c r="R12" s="20">
        <f t="shared" si="7"/>
        <v>66.67</v>
      </c>
      <c r="S12" s="20">
        <f t="shared" si="8"/>
        <v>78.489999999999995</v>
      </c>
      <c r="T12" s="20" t="s">
        <v>46</v>
      </c>
      <c r="U12" s="20" t="s">
        <v>66</v>
      </c>
      <c r="V12" s="45">
        <f t="shared" si="9"/>
        <v>1.123553192856225</v>
      </c>
    </row>
    <row r="13" spans="1:22" x14ac:dyDescent="0.25">
      <c r="A13" s="40" t="s">
        <v>35</v>
      </c>
      <c r="B13" s="50">
        <v>91</v>
      </c>
      <c r="C13" s="50">
        <v>42</v>
      </c>
      <c r="D13" s="50">
        <v>23</v>
      </c>
      <c r="E13" s="50">
        <v>7</v>
      </c>
      <c r="F13" s="50">
        <v>113</v>
      </c>
      <c r="G13" s="50">
        <v>454</v>
      </c>
      <c r="H13" s="50">
        <v>46</v>
      </c>
      <c r="I13" s="50">
        <v>10965</v>
      </c>
      <c r="J13" s="50">
        <v>181</v>
      </c>
      <c r="K13" s="20">
        <f t="shared" si="0"/>
        <v>0.5</v>
      </c>
      <c r="L13" s="21">
        <f t="shared" si="1"/>
        <v>3.8674033149171269E-2</v>
      </c>
      <c r="M13" s="21">
        <f t="shared" si="2"/>
        <v>0.1270718232044199</v>
      </c>
      <c r="N13" s="20">
        <f t="shared" si="3"/>
        <v>0.62</v>
      </c>
      <c r="O13" s="20">
        <f t="shared" si="4"/>
        <v>2.5099999999999998</v>
      </c>
      <c r="P13" s="20">
        <f t="shared" si="5"/>
        <v>0.25</v>
      </c>
      <c r="Q13" s="20">
        <f t="shared" si="6"/>
        <v>0.81</v>
      </c>
      <c r="R13" s="20">
        <f t="shared" si="7"/>
        <v>46.150000000000006</v>
      </c>
      <c r="S13" s="20">
        <f t="shared" si="8"/>
        <v>60.58</v>
      </c>
      <c r="T13" s="20" t="s">
        <v>46</v>
      </c>
      <c r="U13" s="22" t="s">
        <v>24</v>
      </c>
      <c r="V13" s="45">
        <f t="shared" si="9"/>
        <v>0.91377020429140432</v>
      </c>
    </row>
    <row r="14" spans="1:22" x14ac:dyDescent="0.25">
      <c r="A14" s="44" t="s">
        <v>41</v>
      </c>
      <c r="B14" s="32">
        <v>45</v>
      </c>
      <c r="C14" s="32">
        <v>16</v>
      </c>
      <c r="D14" s="32">
        <v>13</v>
      </c>
      <c r="E14" s="32">
        <v>2</v>
      </c>
      <c r="F14" s="32">
        <v>58</v>
      </c>
      <c r="G14" s="32">
        <v>258</v>
      </c>
      <c r="H14" s="32">
        <v>17</v>
      </c>
      <c r="I14" s="32">
        <v>6196</v>
      </c>
      <c r="J14" s="32">
        <v>85</v>
      </c>
      <c r="K14" s="33">
        <f t="shared" si="0"/>
        <v>0.53</v>
      </c>
      <c r="L14" s="34">
        <f t="shared" si="1"/>
        <v>2.3529411764705882E-2</v>
      </c>
      <c r="M14" s="34">
        <f t="shared" si="2"/>
        <v>0.15294117647058825</v>
      </c>
      <c r="N14" s="33">
        <f t="shared" si="3"/>
        <v>0.68</v>
      </c>
      <c r="O14" s="33">
        <f t="shared" si="4"/>
        <v>3.04</v>
      </c>
      <c r="P14" s="33">
        <f t="shared" si="5"/>
        <v>0.2</v>
      </c>
      <c r="Q14" s="33">
        <f t="shared" si="6"/>
        <v>0.78</v>
      </c>
      <c r="R14" s="33">
        <f t="shared" si="7"/>
        <v>35.56</v>
      </c>
      <c r="S14" s="33">
        <f t="shared" si="8"/>
        <v>72.89</v>
      </c>
      <c r="T14" s="32" t="s">
        <v>47</v>
      </c>
      <c r="U14" s="32" t="s">
        <v>24</v>
      </c>
      <c r="V14" s="45">
        <f t="shared" si="9"/>
        <v>0.92396443228454173</v>
      </c>
    </row>
    <row r="15" spans="1:22" x14ac:dyDescent="0.25">
      <c r="A15" s="44" t="s">
        <v>26</v>
      </c>
      <c r="B15" s="32">
        <v>37</v>
      </c>
      <c r="C15" s="32">
        <v>17</v>
      </c>
      <c r="D15" s="32">
        <v>8</v>
      </c>
      <c r="E15" s="32">
        <v>3</v>
      </c>
      <c r="F15" s="32">
        <v>59</v>
      </c>
      <c r="G15" s="32">
        <v>253</v>
      </c>
      <c r="H15" s="32">
        <v>6</v>
      </c>
      <c r="I15" s="32">
        <v>4025</v>
      </c>
      <c r="J15" s="32">
        <v>85</v>
      </c>
      <c r="K15" s="33">
        <f t="shared" si="0"/>
        <v>0.44</v>
      </c>
      <c r="L15" s="34">
        <f t="shared" si="1"/>
        <v>3.5294117647058823E-2</v>
      </c>
      <c r="M15" s="34">
        <f t="shared" si="2"/>
        <v>9.4117647058823528E-2</v>
      </c>
      <c r="N15" s="33">
        <f t="shared" si="3"/>
        <v>0.69</v>
      </c>
      <c r="O15" s="33">
        <f t="shared" si="4"/>
        <v>2.98</v>
      </c>
      <c r="P15" s="33">
        <f t="shared" si="5"/>
        <v>7.0000000000000007E-2</v>
      </c>
      <c r="Q15" s="33">
        <f t="shared" si="6"/>
        <v>0.63</v>
      </c>
      <c r="R15" s="33">
        <f t="shared" si="7"/>
        <v>45.95</v>
      </c>
      <c r="S15" s="33">
        <f t="shared" si="8"/>
        <v>47.35</v>
      </c>
      <c r="T15" s="32" t="s">
        <v>47</v>
      </c>
      <c r="U15" s="32" t="s">
        <v>24</v>
      </c>
      <c r="V15" s="45">
        <f t="shared" si="9"/>
        <v>0.74032079343365265</v>
      </c>
    </row>
    <row r="16" spans="1:22" x14ac:dyDescent="0.25">
      <c r="A16" s="39" t="s">
        <v>22</v>
      </c>
      <c r="B16" s="18">
        <v>67</v>
      </c>
      <c r="C16" s="18">
        <v>35</v>
      </c>
      <c r="D16" s="18">
        <v>14</v>
      </c>
      <c r="E16" s="18">
        <v>3</v>
      </c>
      <c r="F16" s="18">
        <v>77</v>
      </c>
      <c r="G16" s="18">
        <v>367</v>
      </c>
      <c r="H16" s="18">
        <v>13</v>
      </c>
      <c r="I16" s="18">
        <v>8413</v>
      </c>
      <c r="J16" s="18">
        <v>119</v>
      </c>
      <c r="K16" s="18">
        <f t="shared" si="0"/>
        <v>0.56000000000000005</v>
      </c>
      <c r="L16" s="19">
        <f t="shared" si="1"/>
        <v>2.5210084033613446E-2</v>
      </c>
      <c r="M16" s="19">
        <f t="shared" si="2"/>
        <v>0.11764705882352941</v>
      </c>
      <c r="N16" s="18">
        <f t="shared" si="3"/>
        <v>0.65</v>
      </c>
      <c r="O16" s="18">
        <f t="shared" si="4"/>
        <v>3.08</v>
      </c>
      <c r="P16" s="18">
        <f t="shared" si="5"/>
        <v>0.11</v>
      </c>
      <c r="Q16" s="18">
        <f t="shared" si="6"/>
        <v>0.87</v>
      </c>
      <c r="R16" s="18">
        <f t="shared" si="7"/>
        <v>52.239999999999995</v>
      </c>
      <c r="S16" s="18">
        <f t="shared" si="8"/>
        <v>70.7</v>
      </c>
      <c r="T16" s="18" t="s">
        <v>47</v>
      </c>
      <c r="U16" s="18" t="s">
        <v>24</v>
      </c>
      <c r="V16" s="45">
        <f t="shared" si="9"/>
        <v>0.94279099081493056</v>
      </c>
    </row>
    <row r="17" spans="1:22" x14ac:dyDescent="0.25">
      <c r="A17" s="39" t="s">
        <v>23</v>
      </c>
      <c r="B17" s="18">
        <v>55</v>
      </c>
      <c r="C17" s="18">
        <v>21</v>
      </c>
      <c r="D17" s="18">
        <v>10</v>
      </c>
      <c r="E17" s="18">
        <v>2</v>
      </c>
      <c r="F17" s="18">
        <v>78</v>
      </c>
      <c r="G17" s="18">
        <v>177</v>
      </c>
      <c r="H17" s="18">
        <v>15</v>
      </c>
      <c r="I17" s="18">
        <v>6687</v>
      </c>
      <c r="J17" s="18">
        <v>119</v>
      </c>
      <c r="K17" s="18">
        <f t="shared" si="0"/>
        <v>0.46</v>
      </c>
      <c r="L17" s="19">
        <f t="shared" si="1"/>
        <v>1.680672268907563E-2</v>
      </c>
      <c r="M17" s="19">
        <f t="shared" si="2"/>
        <v>8.4033613445378158E-2</v>
      </c>
      <c r="N17" s="18">
        <f t="shared" si="3"/>
        <v>0.66</v>
      </c>
      <c r="O17" s="18">
        <f t="shared" si="4"/>
        <v>1.49</v>
      </c>
      <c r="P17" s="18">
        <f t="shared" si="5"/>
        <v>0.13</v>
      </c>
      <c r="Q17" s="18">
        <f t="shared" si="6"/>
        <v>0.71</v>
      </c>
      <c r="R17" s="18">
        <f t="shared" si="7"/>
        <v>38.18</v>
      </c>
      <c r="S17" s="18">
        <f t="shared" si="8"/>
        <v>56.19</v>
      </c>
      <c r="T17" s="18" t="s">
        <v>47</v>
      </c>
      <c r="U17" s="18" t="s">
        <v>24</v>
      </c>
      <c r="V17" s="45">
        <f t="shared" si="9"/>
        <v>0.8162185851084619</v>
      </c>
    </row>
    <row r="18" spans="1:22" x14ac:dyDescent="0.25">
      <c r="A18" s="41" t="s">
        <v>36</v>
      </c>
      <c r="B18" s="23">
        <v>59</v>
      </c>
      <c r="C18" s="23">
        <v>36</v>
      </c>
      <c r="D18" s="23">
        <v>18</v>
      </c>
      <c r="E18" s="23">
        <v>2</v>
      </c>
      <c r="F18" s="23">
        <v>71</v>
      </c>
      <c r="G18" s="23">
        <v>332</v>
      </c>
      <c r="H18" s="23">
        <v>14</v>
      </c>
      <c r="I18" s="23">
        <v>7926</v>
      </c>
      <c r="J18" s="23">
        <v>98</v>
      </c>
      <c r="K18" s="24">
        <f t="shared" si="0"/>
        <v>0.6</v>
      </c>
      <c r="L18" s="25">
        <f t="shared" si="1"/>
        <v>2.0408163265306121E-2</v>
      </c>
      <c r="M18" s="25">
        <f t="shared" si="2"/>
        <v>0.18367346938775511</v>
      </c>
      <c r="N18" s="24">
        <f t="shared" si="3"/>
        <v>0.72</v>
      </c>
      <c r="O18" s="24">
        <f t="shared" si="4"/>
        <v>3.39</v>
      </c>
      <c r="P18" s="24">
        <f t="shared" si="5"/>
        <v>0.14000000000000001</v>
      </c>
      <c r="Q18" s="24">
        <f t="shared" si="6"/>
        <v>0.83</v>
      </c>
      <c r="R18" s="24">
        <f t="shared" si="7"/>
        <v>61.019999999999996</v>
      </c>
      <c r="S18" s="24">
        <f t="shared" si="8"/>
        <v>80.88</v>
      </c>
      <c r="T18" s="24" t="s">
        <v>47</v>
      </c>
      <c r="U18" s="24" t="s">
        <v>24</v>
      </c>
      <c r="V18" s="45">
        <f t="shared" si="9"/>
        <v>0.95318604651162786</v>
      </c>
    </row>
    <row r="19" spans="1:22" x14ac:dyDescent="0.25">
      <c r="A19" s="41" t="s">
        <v>25</v>
      </c>
      <c r="B19" s="23">
        <v>29</v>
      </c>
      <c r="C19" s="23">
        <v>14</v>
      </c>
      <c r="D19" s="23">
        <v>6</v>
      </c>
      <c r="E19" s="23">
        <v>2</v>
      </c>
      <c r="F19" s="23">
        <v>58</v>
      </c>
      <c r="G19" s="24">
        <v>113</v>
      </c>
      <c r="H19" s="23">
        <v>9</v>
      </c>
      <c r="I19" s="23">
        <v>3573</v>
      </c>
      <c r="J19" s="23">
        <v>82</v>
      </c>
      <c r="K19" s="24">
        <f t="shared" si="0"/>
        <v>0.35</v>
      </c>
      <c r="L19" s="25">
        <f t="shared" si="1"/>
        <v>2.4390243902439025E-2</v>
      </c>
      <c r="M19" s="25">
        <f t="shared" si="2"/>
        <v>7.3170731707317069E-2</v>
      </c>
      <c r="N19" s="24">
        <f t="shared" si="3"/>
        <v>0.71</v>
      </c>
      <c r="O19" s="24">
        <f t="shared" si="4"/>
        <v>1.38</v>
      </c>
      <c r="P19" s="24">
        <f t="shared" si="5"/>
        <v>0.11</v>
      </c>
      <c r="Q19" s="24">
        <f t="shared" si="6"/>
        <v>0.5</v>
      </c>
      <c r="R19" s="24">
        <f t="shared" si="7"/>
        <v>48.28</v>
      </c>
      <c r="S19" s="24">
        <f t="shared" si="8"/>
        <v>43.57</v>
      </c>
      <c r="T19" s="24" t="s">
        <v>47</v>
      </c>
      <c r="U19" s="24" t="s">
        <v>24</v>
      </c>
      <c r="V19" s="45">
        <f t="shared" si="9"/>
        <v>0.66132189449801471</v>
      </c>
    </row>
    <row r="20" spans="1:22" x14ac:dyDescent="0.25">
      <c r="A20" s="38" t="s">
        <v>33</v>
      </c>
      <c r="B20" s="15">
        <v>69</v>
      </c>
      <c r="C20" s="15">
        <v>46</v>
      </c>
      <c r="D20" s="15">
        <v>13</v>
      </c>
      <c r="E20" s="15">
        <v>4</v>
      </c>
      <c r="F20" s="15">
        <v>73</v>
      </c>
      <c r="G20" s="15">
        <v>168</v>
      </c>
      <c r="H20" s="15">
        <v>28</v>
      </c>
      <c r="I20" s="15">
        <v>7920</v>
      </c>
      <c r="J20" s="15">
        <v>112</v>
      </c>
      <c r="K20" s="15">
        <f t="shared" si="0"/>
        <v>0.62</v>
      </c>
      <c r="L20" s="17">
        <f t="shared" si="1"/>
        <v>3.5714285714285712E-2</v>
      </c>
      <c r="M20" s="17">
        <f t="shared" si="2"/>
        <v>0.11607142857142858</v>
      </c>
      <c r="N20" s="15">
        <f t="shared" si="3"/>
        <v>0.65</v>
      </c>
      <c r="O20" s="15">
        <f t="shared" si="4"/>
        <v>1.5</v>
      </c>
      <c r="P20" s="15">
        <f t="shared" si="5"/>
        <v>0.25</v>
      </c>
      <c r="Q20" s="15">
        <f t="shared" si="6"/>
        <v>0.95</v>
      </c>
      <c r="R20" s="15">
        <f t="shared" si="7"/>
        <v>66.67</v>
      </c>
      <c r="S20" s="15">
        <f t="shared" si="8"/>
        <v>70.709999999999994</v>
      </c>
      <c r="T20" s="16" t="s">
        <v>47</v>
      </c>
      <c r="U20" s="16" t="s">
        <v>24</v>
      </c>
      <c r="V20" s="45">
        <f t="shared" si="9"/>
        <v>0.9755444352159468</v>
      </c>
    </row>
    <row r="21" spans="1:22" x14ac:dyDescent="0.25">
      <c r="A21" s="38" t="s">
        <v>21</v>
      </c>
      <c r="B21" s="15">
        <v>46</v>
      </c>
      <c r="C21" s="15">
        <v>22</v>
      </c>
      <c r="D21" s="15">
        <v>7</v>
      </c>
      <c r="E21" s="15">
        <v>1</v>
      </c>
      <c r="F21" s="15">
        <v>72</v>
      </c>
      <c r="G21" s="15">
        <v>160</v>
      </c>
      <c r="H21" s="15">
        <v>15</v>
      </c>
      <c r="I21" s="15">
        <v>5180</v>
      </c>
      <c r="J21" s="15">
        <v>101</v>
      </c>
      <c r="K21" s="15">
        <f t="shared" si="0"/>
        <v>0.46</v>
      </c>
      <c r="L21" s="17">
        <f t="shared" si="1"/>
        <v>9.9009900990099011E-3</v>
      </c>
      <c r="M21" s="17">
        <f t="shared" si="2"/>
        <v>6.9306930693069313E-2</v>
      </c>
      <c r="N21" s="15">
        <f t="shared" si="3"/>
        <v>0.71</v>
      </c>
      <c r="O21" s="15">
        <f t="shared" si="4"/>
        <v>1.58</v>
      </c>
      <c r="P21" s="15">
        <f t="shared" si="5"/>
        <v>0.15</v>
      </c>
      <c r="Q21" s="15">
        <f t="shared" si="6"/>
        <v>0.64</v>
      </c>
      <c r="R21" s="15">
        <f t="shared" si="7"/>
        <v>47.83</v>
      </c>
      <c r="S21" s="15">
        <f t="shared" si="8"/>
        <v>51.29</v>
      </c>
      <c r="T21" s="16" t="s">
        <v>47</v>
      </c>
      <c r="U21" s="16" t="s">
        <v>24</v>
      </c>
      <c r="V21" s="45">
        <f t="shared" si="9"/>
        <v>0.73936507022795306</v>
      </c>
    </row>
    <row r="22" spans="1:22" x14ac:dyDescent="0.25">
      <c r="A22" s="46" t="s">
        <v>43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 t="shared" si="0"/>
        <v>0.19</v>
      </c>
      <c r="L22" s="49">
        <f t="shared" si="1"/>
        <v>6.25E-2</v>
      </c>
      <c r="M22" s="49">
        <f t="shared" si="2"/>
        <v>6.25E-2</v>
      </c>
      <c r="N22" s="48">
        <f t="shared" si="3"/>
        <v>0.75</v>
      </c>
      <c r="O22" s="48">
        <f t="shared" si="4"/>
        <v>2.69</v>
      </c>
      <c r="P22" s="48">
        <f t="shared" si="5"/>
        <v>0</v>
      </c>
      <c r="Q22" s="48">
        <f t="shared" si="6"/>
        <v>0.25</v>
      </c>
      <c r="R22" s="48">
        <f t="shared" si="7"/>
        <v>66.67</v>
      </c>
      <c r="S22" s="48">
        <f t="shared" si="8"/>
        <v>27</v>
      </c>
      <c r="T22" s="47" t="s">
        <v>44</v>
      </c>
      <c r="U22" s="47" t="s">
        <v>24</v>
      </c>
      <c r="V22" s="45">
        <f t="shared" si="9"/>
        <v>0.47970639534883719</v>
      </c>
    </row>
  </sheetData>
  <sortState xmlns:xlrd2="http://schemas.microsoft.com/office/spreadsheetml/2017/richdata2" ref="A2:V22">
    <sortCondition sortBy="cellColor" ref="R6:R22" dxfId="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23B68-2CCB-468D-B947-83DB7F94C282}">
  <dimension ref="A1:V22"/>
  <sheetViews>
    <sheetView showGridLines="0" zoomScaleNormal="100" workbookViewId="0">
      <selection activeCell="C28" sqref="C28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6" t="s">
        <v>31</v>
      </c>
      <c r="B2" s="9">
        <v>111</v>
      </c>
      <c r="C2" s="9">
        <v>55</v>
      </c>
      <c r="D2" s="9">
        <v>29</v>
      </c>
      <c r="E2" s="9">
        <v>11</v>
      </c>
      <c r="F2" s="9">
        <v>81</v>
      </c>
      <c r="G2" s="9">
        <v>446</v>
      </c>
      <c r="H2" s="9">
        <v>37</v>
      </c>
      <c r="I2" s="9">
        <v>13070</v>
      </c>
      <c r="J2" s="9">
        <v>148</v>
      </c>
      <c r="K2" s="9">
        <f t="shared" ref="K2:K22" si="0">ROUND(IMDIV(B2,J2),2)</f>
        <v>0.75</v>
      </c>
      <c r="L2" s="11">
        <f t="shared" ref="L2:L22" si="1">E2/J2</f>
        <v>7.4324324324324328E-2</v>
      </c>
      <c r="M2" s="11">
        <f t="shared" ref="M2:M22" si="2">D2/J2</f>
        <v>0.19594594594594594</v>
      </c>
      <c r="N2" s="9">
        <f t="shared" ref="N2:N22" si="3">ROUND(IMDIV(F2,J2),2)</f>
        <v>0.55000000000000004</v>
      </c>
      <c r="O2" s="9">
        <f t="shared" ref="O2:O22" si="4">ROUND(IMDIV(G2,J2),2)</f>
        <v>3.01</v>
      </c>
      <c r="P2" s="9">
        <f t="shared" ref="P2:P22" si="5">ROUND(IMDIV(H2,J2),2)</f>
        <v>0.25</v>
      </c>
      <c r="Q2" s="9">
        <f t="shared" ref="Q2:Q22" si="6">ROUND(IMDIV(B2,F2),2)</f>
        <v>1.37</v>
      </c>
      <c r="R2" s="9">
        <f t="shared" ref="R2:R22" si="7">ROUND(IMDIV(C2,B2),4)*100</f>
        <v>49.55</v>
      </c>
      <c r="S2" s="9">
        <f t="shared" ref="S2:S22" si="8">ROUND(IMDIV(I2,J2),2)</f>
        <v>88.31</v>
      </c>
      <c r="T2" s="9" t="s">
        <v>76</v>
      </c>
      <c r="U2" s="10" t="s">
        <v>24</v>
      </c>
      <c r="V2" s="45">
        <f t="shared" ref="V2:V22" si="9">((K2/2.5)+(M2/4)+(L2/5)-(N2)+(S2/215)+(P2/20))+1</f>
        <v>1.2370955373978629</v>
      </c>
    </row>
    <row r="3" spans="1:22" x14ac:dyDescent="0.25">
      <c r="A3" s="36" t="s">
        <v>32</v>
      </c>
      <c r="B3" s="9">
        <v>82</v>
      </c>
      <c r="C3" s="9">
        <v>34</v>
      </c>
      <c r="D3" s="9">
        <v>16</v>
      </c>
      <c r="E3" s="9">
        <v>8</v>
      </c>
      <c r="F3" s="9">
        <v>88</v>
      </c>
      <c r="G3" s="9">
        <v>748</v>
      </c>
      <c r="H3" s="9">
        <v>21</v>
      </c>
      <c r="I3" s="9">
        <v>8723</v>
      </c>
      <c r="J3" s="9">
        <v>148</v>
      </c>
      <c r="K3" s="9">
        <f t="shared" si="0"/>
        <v>0.55000000000000004</v>
      </c>
      <c r="L3" s="11">
        <f t="shared" si="1"/>
        <v>5.4054054054054057E-2</v>
      </c>
      <c r="M3" s="11">
        <f t="shared" si="2"/>
        <v>0.10810810810810811</v>
      </c>
      <c r="N3" s="9">
        <f t="shared" si="3"/>
        <v>0.59</v>
      </c>
      <c r="O3" s="9">
        <f t="shared" si="4"/>
        <v>5.05</v>
      </c>
      <c r="P3" s="9">
        <f t="shared" si="5"/>
        <v>0.14000000000000001</v>
      </c>
      <c r="Q3" s="9">
        <f t="shared" si="6"/>
        <v>0.93</v>
      </c>
      <c r="R3" s="9">
        <f t="shared" si="7"/>
        <v>41.46</v>
      </c>
      <c r="S3" s="9">
        <f t="shared" si="8"/>
        <v>58.94</v>
      </c>
      <c r="T3" s="9" t="s">
        <v>76</v>
      </c>
      <c r="U3" s="10" t="s">
        <v>24</v>
      </c>
      <c r="V3" s="45">
        <f t="shared" si="9"/>
        <v>0.9489773727215588</v>
      </c>
    </row>
    <row r="4" spans="1:22" x14ac:dyDescent="0.25">
      <c r="A4" s="35" t="s">
        <v>28</v>
      </c>
      <c r="B4" s="6">
        <v>112</v>
      </c>
      <c r="C4" s="6">
        <v>73</v>
      </c>
      <c r="D4" s="6">
        <v>32</v>
      </c>
      <c r="E4" s="6">
        <v>8</v>
      </c>
      <c r="F4" s="6">
        <v>55</v>
      </c>
      <c r="G4" s="6">
        <v>668</v>
      </c>
      <c r="H4" s="6">
        <v>31</v>
      </c>
      <c r="I4" s="6">
        <v>12100</v>
      </c>
      <c r="J4" s="6">
        <v>118</v>
      </c>
      <c r="K4" s="6">
        <f t="shared" si="0"/>
        <v>0.95</v>
      </c>
      <c r="L4" s="7">
        <f t="shared" si="1"/>
        <v>6.7796610169491525E-2</v>
      </c>
      <c r="M4" s="7">
        <f t="shared" si="2"/>
        <v>0.2711864406779661</v>
      </c>
      <c r="N4" s="6">
        <f t="shared" si="3"/>
        <v>0.47</v>
      </c>
      <c r="O4" s="6">
        <f t="shared" si="4"/>
        <v>5.66</v>
      </c>
      <c r="P4" s="6">
        <f t="shared" si="5"/>
        <v>0.26</v>
      </c>
      <c r="Q4" s="6">
        <f t="shared" si="6"/>
        <v>2.04</v>
      </c>
      <c r="R4" s="6">
        <f t="shared" si="7"/>
        <v>65.180000000000007</v>
      </c>
      <c r="S4" s="6">
        <f t="shared" si="8"/>
        <v>102.54</v>
      </c>
      <c r="T4" s="6" t="s">
        <v>45</v>
      </c>
      <c r="U4" s="8" t="s">
        <v>24</v>
      </c>
      <c r="V4" s="45">
        <f t="shared" si="9"/>
        <v>1.4812861647615294</v>
      </c>
    </row>
    <row r="5" spans="1:22" x14ac:dyDescent="0.25">
      <c r="A5" s="35" t="s">
        <v>27</v>
      </c>
      <c r="B5" s="6">
        <v>57</v>
      </c>
      <c r="C5" s="6">
        <v>29</v>
      </c>
      <c r="D5" s="6">
        <v>10</v>
      </c>
      <c r="E5" s="6">
        <v>2</v>
      </c>
      <c r="F5" s="6">
        <v>72</v>
      </c>
      <c r="G5" s="6">
        <v>41</v>
      </c>
      <c r="H5" s="6">
        <v>14</v>
      </c>
      <c r="I5" s="6">
        <v>6117</v>
      </c>
      <c r="J5" s="6">
        <v>118</v>
      </c>
      <c r="K5" s="6">
        <f t="shared" si="0"/>
        <v>0.48</v>
      </c>
      <c r="L5" s="7">
        <f t="shared" si="1"/>
        <v>1.6949152542372881E-2</v>
      </c>
      <c r="M5" s="7">
        <f t="shared" si="2"/>
        <v>8.4745762711864403E-2</v>
      </c>
      <c r="N5" s="6">
        <f t="shared" si="3"/>
        <v>0.61</v>
      </c>
      <c r="O5" s="6">
        <f t="shared" si="4"/>
        <v>0.35</v>
      </c>
      <c r="P5" s="6">
        <f t="shared" si="5"/>
        <v>0.12</v>
      </c>
      <c r="Q5" s="6">
        <f t="shared" si="6"/>
        <v>0.79</v>
      </c>
      <c r="R5" s="6">
        <f t="shared" si="7"/>
        <v>50.88</v>
      </c>
      <c r="S5" s="6">
        <f t="shared" si="8"/>
        <v>51.84</v>
      </c>
      <c r="T5" s="6" t="s">
        <v>45</v>
      </c>
      <c r="U5" s="8" t="s">
        <v>24</v>
      </c>
      <c r="V5" s="45">
        <f t="shared" si="9"/>
        <v>0.85369255025620816</v>
      </c>
    </row>
    <row r="6" spans="1:22" x14ac:dyDescent="0.25">
      <c r="A6" s="42" t="s">
        <v>37</v>
      </c>
      <c r="B6" s="26">
        <v>106</v>
      </c>
      <c r="C6" s="26">
        <v>57</v>
      </c>
      <c r="D6" s="26">
        <v>21</v>
      </c>
      <c r="E6" s="26">
        <v>17</v>
      </c>
      <c r="F6" s="26">
        <v>71</v>
      </c>
      <c r="G6" s="26">
        <v>300</v>
      </c>
      <c r="H6" s="26">
        <v>38</v>
      </c>
      <c r="I6" s="26">
        <v>11765</v>
      </c>
      <c r="J6" s="26">
        <v>136</v>
      </c>
      <c r="K6" s="27">
        <f t="shared" si="0"/>
        <v>0.78</v>
      </c>
      <c r="L6" s="28">
        <f t="shared" si="1"/>
        <v>0.125</v>
      </c>
      <c r="M6" s="28">
        <f t="shared" si="2"/>
        <v>0.15441176470588236</v>
      </c>
      <c r="N6" s="27">
        <f t="shared" si="3"/>
        <v>0.52</v>
      </c>
      <c r="O6" s="27">
        <f t="shared" si="4"/>
        <v>2.21</v>
      </c>
      <c r="P6" s="27">
        <f t="shared" si="5"/>
        <v>0.28000000000000003</v>
      </c>
      <c r="Q6" s="27">
        <f t="shared" si="6"/>
        <v>1.49</v>
      </c>
      <c r="R6" s="27">
        <f t="shared" si="7"/>
        <v>53.769999999999996</v>
      </c>
      <c r="S6" s="27">
        <f t="shared" si="8"/>
        <v>86.51</v>
      </c>
      <c r="T6" s="26" t="s">
        <v>45</v>
      </c>
      <c r="U6" s="26" t="s">
        <v>24</v>
      </c>
      <c r="V6" s="45">
        <f t="shared" si="9"/>
        <v>1.2719750341997265</v>
      </c>
    </row>
    <row r="7" spans="1:22" x14ac:dyDescent="0.25">
      <c r="A7" s="42" t="s">
        <v>38</v>
      </c>
      <c r="B7" s="26">
        <v>70</v>
      </c>
      <c r="C7" s="26">
        <v>28</v>
      </c>
      <c r="D7" s="26">
        <v>10</v>
      </c>
      <c r="E7" s="26">
        <v>2</v>
      </c>
      <c r="F7" s="26">
        <v>80</v>
      </c>
      <c r="G7" s="26">
        <v>347</v>
      </c>
      <c r="H7" s="26">
        <v>38</v>
      </c>
      <c r="I7" s="26">
        <v>7963</v>
      </c>
      <c r="J7" s="26">
        <v>125</v>
      </c>
      <c r="K7" s="27">
        <f t="shared" si="0"/>
        <v>0.56000000000000005</v>
      </c>
      <c r="L7" s="28">
        <f t="shared" si="1"/>
        <v>1.6E-2</v>
      </c>
      <c r="M7" s="28">
        <f t="shared" si="2"/>
        <v>0.08</v>
      </c>
      <c r="N7" s="27">
        <f t="shared" si="3"/>
        <v>0.64</v>
      </c>
      <c r="O7" s="27">
        <f t="shared" si="4"/>
        <v>2.78</v>
      </c>
      <c r="P7" s="27">
        <f t="shared" si="5"/>
        <v>0.3</v>
      </c>
      <c r="Q7" s="27">
        <f t="shared" si="6"/>
        <v>0.88</v>
      </c>
      <c r="R7" s="27">
        <f t="shared" si="7"/>
        <v>40</v>
      </c>
      <c r="S7" s="27">
        <f t="shared" si="8"/>
        <v>63.7</v>
      </c>
      <c r="T7" s="26" t="s">
        <v>45</v>
      </c>
      <c r="U7" s="26" t="s">
        <v>24</v>
      </c>
      <c r="V7" s="45">
        <f t="shared" si="9"/>
        <v>0.91847906976744187</v>
      </c>
    </row>
    <row r="8" spans="1:22" x14ac:dyDescent="0.25">
      <c r="A8" s="43" t="s">
        <v>39</v>
      </c>
      <c r="B8" s="29">
        <v>108</v>
      </c>
      <c r="C8" s="29">
        <v>62</v>
      </c>
      <c r="D8" s="29">
        <v>35</v>
      </c>
      <c r="E8" s="29">
        <v>10</v>
      </c>
      <c r="F8" s="29">
        <v>60</v>
      </c>
      <c r="G8" s="29">
        <v>794</v>
      </c>
      <c r="H8" s="29">
        <v>15</v>
      </c>
      <c r="I8" s="29">
        <v>12350</v>
      </c>
      <c r="J8" s="29">
        <v>122</v>
      </c>
      <c r="K8" s="30">
        <f t="shared" si="0"/>
        <v>0.89</v>
      </c>
      <c r="L8" s="31">
        <f t="shared" si="1"/>
        <v>8.1967213114754092E-2</v>
      </c>
      <c r="M8" s="31">
        <f t="shared" si="2"/>
        <v>0.28688524590163933</v>
      </c>
      <c r="N8" s="30">
        <f t="shared" si="3"/>
        <v>0.49</v>
      </c>
      <c r="O8" s="30">
        <f t="shared" si="4"/>
        <v>6.51</v>
      </c>
      <c r="P8" s="30">
        <f t="shared" si="5"/>
        <v>0.12</v>
      </c>
      <c r="Q8" s="30">
        <f t="shared" si="6"/>
        <v>1.8</v>
      </c>
      <c r="R8" s="30">
        <f t="shared" si="7"/>
        <v>57.410000000000004</v>
      </c>
      <c r="S8" s="30">
        <f t="shared" si="8"/>
        <v>101.23</v>
      </c>
      <c r="T8" s="29" t="s">
        <v>75</v>
      </c>
      <c r="U8" s="29" t="s">
        <v>24</v>
      </c>
      <c r="V8" s="45">
        <f t="shared" si="9"/>
        <v>1.4309519634006862</v>
      </c>
    </row>
    <row r="9" spans="1:22" x14ac:dyDescent="0.25">
      <c r="A9" s="43" t="s">
        <v>40</v>
      </c>
      <c r="B9" s="29">
        <v>50</v>
      </c>
      <c r="C9" s="29">
        <v>18</v>
      </c>
      <c r="D9" s="29">
        <v>6</v>
      </c>
      <c r="E9" s="29">
        <v>3</v>
      </c>
      <c r="F9" s="29">
        <v>67</v>
      </c>
      <c r="G9" s="29">
        <v>233</v>
      </c>
      <c r="H9" s="29">
        <v>24</v>
      </c>
      <c r="I9" s="29">
        <v>5570</v>
      </c>
      <c r="J9" s="29">
        <v>122</v>
      </c>
      <c r="K9" s="30">
        <f t="shared" si="0"/>
        <v>0.41</v>
      </c>
      <c r="L9" s="31">
        <f t="shared" si="1"/>
        <v>2.4590163934426229E-2</v>
      </c>
      <c r="M9" s="31">
        <f t="shared" si="2"/>
        <v>4.9180327868852458E-2</v>
      </c>
      <c r="N9" s="30">
        <f t="shared" si="3"/>
        <v>0.55000000000000004</v>
      </c>
      <c r="O9" s="30">
        <f t="shared" si="4"/>
        <v>1.91</v>
      </c>
      <c r="P9" s="30">
        <f t="shared" si="5"/>
        <v>0.2</v>
      </c>
      <c r="Q9" s="30">
        <f t="shared" si="6"/>
        <v>0.75</v>
      </c>
      <c r="R9" s="30">
        <f t="shared" si="7"/>
        <v>36</v>
      </c>
      <c r="S9" s="30">
        <f t="shared" si="8"/>
        <v>45.66</v>
      </c>
      <c r="T9" s="29" t="s">
        <v>75</v>
      </c>
      <c r="U9" s="29" t="s">
        <v>24</v>
      </c>
      <c r="V9" s="45">
        <f t="shared" si="9"/>
        <v>0.85358520777735414</v>
      </c>
    </row>
    <row r="10" spans="1:22" x14ac:dyDescent="0.25">
      <c r="A10" s="37" t="s">
        <v>29</v>
      </c>
      <c r="B10" s="12">
        <v>93</v>
      </c>
      <c r="C10" s="12">
        <v>42</v>
      </c>
      <c r="D10" s="12">
        <v>23</v>
      </c>
      <c r="E10" s="12">
        <v>6</v>
      </c>
      <c r="F10" s="12">
        <v>60</v>
      </c>
      <c r="G10" s="12">
        <v>382</v>
      </c>
      <c r="H10" s="12">
        <v>14</v>
      </c>
      <c r="I10" s="12">
        <v>11401</v>
      </c>
      <c r="J10" s="12">
        <v>116</v>
      </c>
      <c r="K10" s="12">
        <f t="shared" si="0"/>
        <v>0.8</v>
      </c>
      <c r="L10" s="13">
        <f t="shared" si="1"/>
        <v>5.1724137931034482E-2</v>
      </c>
      <c r="M10" s="13">
        <f t="shared" si="2"/>
        <v>0.19827586206896552</v>
      </c>
      <c r="N10" s="12">
        <f t="shared" si="3"/>
        <v>0.52</v>
      </c>
      <c r="O10" s="12">
        <f t="shared" si="4"/>
        <v>3.29</v>
      </c>
      <c r="P10" s="12">
        <f t="shared" si="5"/>
        <v>0.12</v>
      </c>
      <c r="Q10" s="12">
        <f t="shared" si="6"/>
        <v>1.55</v>
      </c>
      <c r="R10" s="12">
        <f t="shared" si="7"/>
        <v>45.16</v>
      </c>
      <c r="S10" s="12">
        <f t="shared" si="8"/>
        <v>98.28</v>
      </c>
      <c r="T10" s="51" t="s">
        <v>46</v>
      </c>
      <c r="U10" s="14" t="s">
        <v>24</v>
      </c>
      <c r="V10" s="45">
        <f t="shared" si="9"/>
        <v>1.3230300721732158</v>
      </c>
    </row>
    <row r="11" spans="1:22" x14ac:dyDescent="0.25">
      <c r="A11" s="37" t="s">
        <v>30</v>
      </c>
      <c r="B11" s="12">
        <v>60</v>
      </c>
      <c r="C11" s="12">
        <v>33</v>
      </c>
      <c r="D11" s="12">
        <v>9</v>
      </c>
      <c r="E11" s="12">
        <v>3</v>
      </c>
      <c r="F11" s="12">
        <v>66</v>
      </c>
      <c r="G11" s="12">
        <v>145</v>
      </c>
      <c r="H11" s="12">
        <v>18</v>
      </c>
      <c r="I11" s="12">
        <v>6173</v>
      </c>
      <c r="J11" s="12">
        <v>116</v>
      </c>
      <c r="K11" s="12">
        <f t="shared" si="0"/>
        <v>0.52</v>
      </c>
      <c r="L11" s="13">
        <f t="shared" si="1"/>
        <v>2.5862068965517241E-2</v>
      </c>
      <c r="M11" s="13">
        <f t="shared" si="2"/>
        <v>7.7586206896551727E-2</v>
      </c>
      <c r="N11" s="12">
        <f t="shared" si="3"/>
        <v>0.56999999999999995</v>
      </c>
      <c r="O11" s="12">
        <f t="shared" si="4"/>
        <v>1.25</v>
      </c>
      <c r="P11" s="12">
        <f t="shared" si="5"/>
        <v>0.16</v>
      </c>
      <c r="Q11" s="12">
        <f t="shared" si="6"/>
        <v>0.91</v>
      </c>
      <c r="R11" s="12">
        <f t="shared" si="7"/>
        <v>55.000000000000007</v>
      </c>
      <c r="S11" s="12">
        <f t="shared" si="8"/>
        <v>53.22</v>
      </c>
      <c r="T11" s="51" t="s">
        <v>46</v>
      </c>
      <c r="U11" s="14" t="s">
        <v>24</v>
      </c>
      <c r="V11" s="45">
        <f t="shared" si="9"/>
        <v>0.91810384923817168</v>
      </c>
    </row>
    <row r="12" spans="1:22" x14ac:dyDescent="0.25">
      <c r="A12" s="40" t="s">
        <v>34</v>
      </c>
      <c r="B12" s="50">
        <v>92</v>
      </c>
      <c r="C12" s="50">
        <v>60</v>
      </c>
      <c r="D12" s="50">
        <v>27</v>
      </c>
      <c r="E12" s="50">
        <v>9</v>
      </c>
      <c r="F12" s="50">
        <v>79</v>
      </c>
      <c r="G12" s="50">
        <v>717</v>
      </c>
      <c r="H12" s="50">
        <v>30</v>
      </c>
      <c r="I12" s="50">
        <v>10649</v>
      </c>
      <c r="J12" s="50">
        <v>137</v>
      </c>
      <c r="K12" s="20">
        <f t="shared" si="0"/>
        <v>0.67</v>
      </c>
      <c r="L12" s="21">
        <f t="shared" si="1"/>
        <v>6.569343065693431E-2</v>
      </c>
      <c r="M12" s="21">
        <f t="shared" si="2"/>
        <v>0.19708029197080293</v>
      </c>
      <c r="N12" s="20">
        <f t="shared" si="3"/>
        <v>0.57999999999999996</v>
      </c>
      <c r="O12" s="20">
        <f t="shared" si="4"/>
        <v>5.23</v>
      </c>
      <c r="P12" s="20">
        <f t="shared" si="5"/>
        <v>0.22</v>
      </c>
      <c r="Q12" s="20">
        <f t="shared" si="6"/>
        <v>1.1599999999999999</v>
      </c>
      <c r="R12" s="20">
        <f t="shared" si="7"/>
        <v>65.22</v>
      </c>
      <c r="S12" s="20">
        <f t="shared" si="8"/>
        <v>77.73</v>
      </c>
      <c r="T12" s="20" t="s">
        <v>46</v>
      </c>
      <c r="U12" s="20" t="s">
        <v>66</v>
      </c>
      <c r="V12" s="45">
        <f t="shared" si="9"/>
        <v>1.1229436428450179</v>
      </c>
    </row>
    <row r="13" spans="1:22" x14ac:dyDescent="0.25">
      <c r="A13" s="40" t="s">
        <v>35</v>
      </c>
      <c r="B13" s="50">
        <v>76</v>
      </c>
      <c r="C13" s="50">
        <v>35</v>
      </c>
      <c r="D13" s="50">
        <v>22</v>
      </c>
      <c r="E13" s="50">
        <v>7</v>
      </c>
      <c r="F13" s="50">
        <v>83</v>
      </c>
      <c r="G13" s="50">
        <v>275</v>
      </c>
      <c r="H13" s="50">
        <v>37</v>
      </c>
      <c r="I13" s="50">
        <v>8448</v>
      </c>
      <c r="J13" s="50">
        <v>137</v>
      </c>
      <c r="K13" s="20">
        <f t="shared" si="0"/>
        <v>0.55000000000000004</v>
      </c>
      <c r="L13" s="21">
        <f t="shared" si="1"/>
        <v>5.1094890510948905E-2</v>
      </c>
      <c r="M13" s="21">
        <f t="shared" si="2"/>
        <v>0.16058394160583941</v>
      </c>
      <c r="N13" s="20">
        <f t="shared" si="3"/>
        <v>0.61</v>
      </c>
      <c r="O13" s="20">
        <f t="shared" si="4"/>
        <v>2.0099999999999998</v>
      </c>
      <c r="P13" s="20">
        <f t="shared" si="5"/>
        <v>0.27</v>
      </c>
      <c r="Q13" s="20">
        <f t="shared" si="6"/>
        <v>0.92</v>
      </c>
      <c r="R13" s="20">
        <f t="shared" si="7"/>
        <v>46.050000000000004</v>
      </c>
      <c r="S13" s="20">
        <f t="shared" si="8"/>
        <v>61.66</v>
      </c>
      <c r="T13" s="20" t="s">
        <v>46</v>
      </c>
      <c r="U13" s="22" t="s">
        <v>24</v>
      </c>
      <c r="V13" s="45">
        <f t="shared" si="9"/>
        <v>0.96065566117806833</v>
      </c>
    </row>
    <row r="14" spans="1:22" x14ac:dyDescent="0.25">
      <c r="A14" s="44" t="s">
        <v>41</v>
      </c>
      <c r="B14" s="32">
        <v>45</v>
      </c>
      <c r="C14" s="32">
        <v>16</v>
      </c>
      <c r="D14" s="32">
        <v>13</v>
      </c>
      <c r="E14" s="32">
        <v>2</v>
      </c>
      <c r="F14" s="32">
        <v>58</v>
      </c>
      <c r="G14" s="32">
        <v>258</v>
      </c>
      <c r="H14" s="32">
        <v>17</v>
      </c>
      <c r="I14" s="32">
        <v>6196</v>
      </c>
      <c r="J14" s="32">
        <v>85</v>
      </c>
      <c r="K14" s="33">
        <f t="shared" si="0"/>
        <v>0.53</v>
      </c>
      <c r="L14" s="34">
        <f t="shared" si="1"/>
        <v>2.3529411764705882E-2</v>
      </c>
      <c r="M14" s="34">
        <f t="shared" si="2"/>
        <v>0.15294117647058825</v>
      </c>
      <c r="N14" s="33">
        <f t="shared" si="3"/>
        <v>0.68</v>
      </c>
      <c r="O14" s="33">
        <f t="shared" si="4"/>
        <v>3.04</v>
      </c>
      <c r="P14" s="33">
        <f t="shared" si="5"/>
        <v>0.2</v>
      </c>
      <c r="Q14" s="33">
        <f t="shared" si="6"/>
        <v>0.78</v>
      </c>
      <c r="R14" s="33">
        <f t="shared" si="7"/>
        <v>35.56</v>
      </c>
      <c r="S14" s="33">
        <f t="shared" si="8"/>
        <v>72.89</v>
      </c>
      <c r="T14" s="32" t="s">
        <v>47</v>
      </c>
      <c r="U14" s="32" t="s">
        <v>24</v>
      </c>
      <c r="V14" s="45">
        <f t="shared" si="9"/>
        <v>0.92396443228454173</v>
      </c>
    </row>
    <row r="15" spans="1:22" x14ac:dyDescent="0.25">
      <c r="A15" s="44" t="s">
        <v>26</v>
      </c>
      <c r="B15" s="32">
        <v>37</v>
      </c>
      <c r="C15" s="32">
        <v>17</v>
      </c>
      <c r="D15" s="32">
        <v>8</v>
      </c>
      <c r="E15" s="32">
        <v>3</v>
      </c>
      <c r="F15" s="32">
        <v>59</v>
      </c>
      <c r="G15" s="32">
        <v>253</v>
      </c>
      <c r="H15" s="32">
        <v>6</v>
      </c>
      <c r="I15" s="32">
        <v>4025</v>
      </c>
      <c r="J15" s="32">
        <v>85</v>
      </c>
      <c r="K15" s="33">
        <f t="shared" si="0"/>
        <v>0.44</v>
      </c>
      <c r="L15" s="34">
        <f t="shared" si="1"/>
        <v>3.5294117647058823E-2</v>
      </c>
      <c r="M15" s="34">
        <f t="shared" si="2"/>
        <v>9.4117647058823528E-2</v>
      </c>
      <c r="N15" s="33">
        <f t="shared" si="3"/>
        <v>0.69</v>
      </c>
      <c r="O15" s="33">
        <f t="shared" si="4"/>
        <v>2.98</v>
      </c>
      <c r="P15" s="33">
        <f t="shared" si="5"/>
        <v>7.0000000000000007E-2</v>
      </c>
      <c r="Q15" s="33">
        <f t="shared" si="6"/>
        <v>0.63</v>
      </c>
      <c r="R15" s="33">
        <f t="shared" si="7"/>
        <v>45.95</v>
      </c>
      <c r="S15" s="33">
        <f t="shared" si="8"/>
        <v>47.35</v>
      </c>
      <c r="T15" s="32" t="s">
        <v>47</v>
      </c>
      <c r="U15" s="32" t="s">
        <v>24</v>
      </c>
      <c r="V15" s="45">
        <f t="shared" si="9"/>
        <v>0.74032079343365265</v>
      </c>
    </row>
    <row r="16" spans="1:22" x14ac:dyDescent="0.25">
      <c r="A16" s="39" t="s">
        <v>22</v>
      </c>
      <c r="B16" s="18">
        <v>67</v>
      </c>
      <c r="C16" s="18">
        <v>35</v>
      </c>
      <c r="D16" s="18">
        <v>14</v>
      </c>
      <c r="E16" s="18">
        <v>3</v>
      </c>
      <c r="F16" s="18">
        <v>77</v>
      </c>
      <c r="G16" s="18">
        <v>367</v>
      </c>
      <c r="H16" s="18">
        <v>13</v>
      </c>
      <c r="I16" s="18">
        <v>8413</v>
      </c>
      <c r="J16" s="18">
        <v>119</v>
      </c>
      <c r="K16" s="18">
        <f t="shared" si="0"/>
        <v>0.56000000000000005</v>
      </c>
      <c r="L16" s="19">
        <f t="shared" si="1"/>
        <v>2.5210084033613446E-2</v>
      </c>
      <c r="M16" s="19">
        <f t="shared" si="2"/>
        <v>0.11764705882352941</v>
      </c>
      <c r="N16" s="18">
        <f t="shared" si="3"/>
        <v>0.65</v>
      </c>
      <c r="O16" s="18">
        <f t="shared" si="4"/>
        <v>3.08</v>
      </c>
      <c r="P16" s="18">
        <f t="shared" si="5"/>
        <v>0.11</v>
      </c>
      <c r="Q16" s="18">
        <f t="shared" si="6"/>
        <v>0.87</v>
      </c>
      <c r="R16" s="18">
        <f t="shared" si="7"/>
        <v>52.239999999999995</v>
      </c>
      <c r="S16" s="18">
        <f t="shared" si="8"/>
        <v>70.7</v>
      </c>
      <c r="T16" s="18" t="s">
        <v>47</v>
      </c>
      <c r="U16" s="18" t="s">
        <v>24</v>
      </c>
      <c r="V16" s="45">
        <f t="shared" si="9"/>
        <v>0.94279099081493056</v>
      </c>
    </row>
    <row r="17" spans="1:22" x14ac:dyDescent="0.25">
      <c r="A17" s="39" t="s">
        <v>23</v>
      </c>
      <c r="B17" s="18">
        <v>55</v>
      </c>
      <c r="C17" s="18">
        <v>21</v>
      </c>
      <c r="D17" s="18">
        <v>10</v>
      </c>
      <c r="E17" s="18">
        <v>2</v>
      </c>
      <c r="F17" s="18">
        <v>78</v>
      </c>
      <c r="G17" s="18">
        <v>177</v>
      </c>
      <c r="H17" s="18">
        <v>15</v>
      </c>
      <c r="I17" s="18">
        <v>6687</v>
      </c>
      <c r="J17" s="18">
        <v>119</v>
      </c>
      <c r="K17" s="18">
        <f t="shared" si="0"/>
        <v>0.46</v>
      </c>
      <c r="L17" s="19">
        <f t="shared" si="1"/>
        <v>1.680672268907563E-2</v>
      </c>
      <c r="M17" s="19">
        <f t="shared" si="2"/>
        <v>8.4033613445378158E-2</v>
      </c>
      <c r="N17" s="18">
        <f t="shared" si="3"/>
        <v>0.66</v>
      </c>
      <c r="O17" s="18">
        <f t="shared" si="4"/>
        <v>1.49</v>
      </c>
      <c r="P17" s="18">
        <f t="shared" si="5"/>
        <v>0.13</v>
      </c>
      <c r="Q17" s="18">
        <f t="shared" si="6"/>
        <v>0.71</v>
      </c>
      <c r="R17" s="18">
        <f t="shared" si="7"/>
        <v>38.18</v>
      </c>
      <c r="S17" s="18">
        <f t="shared" si="8"/>
        <v>56.19</v>
      </c>
      <c r="T17" s="18" t="s">
        <v>47</v>
      </c>
      <c r="U17" s="18" t="s">
        <v>24</v>
      </c>
      <c r="V17" s="45">
        <f t="shared" si="9"/>
        <v>0.8162185851084619</v>
      </c>
    </row>
    <row r="18" spans="1:22" x14ac:dyDescent="0.25">
      <c r="A18" s="41" t="s">
        <v>36</v>
      </c>
      <c r="B18" s="23">
        <v>59</v>
      </c>
      <c r="C18" s="23">
        <v>36</v>
      </c>
      <c r="D18" s="23">
        <v>18</v>
      </c>
      <c r="E18" s="23">
        <v>2</v>
      </c>
      <c r="F18" s="23">
        <v>71</v>
      </c>
      <c r="G18" s="23">
        <v>332</v>
      </c>
      <c r="H18" s="23">
        <v>14</v>
      </c>
      <c r="I18" s="23">
        <v>7926</v>
      </c>
      <c r="J18" s="23">
        <v>98</v>
      </c>
      <c r="K18" s="24">
        <f t="shared" si="0"/>
        <v>0.6</v>
      </c>
      <c r="L18" s="25">
        <f t="shared" si="1"/>
        <v>2.0408163265306121E-2</v>
      </c>
      <c r="M18" s="25">
        <f t="shared" si="2"/>
        <v>0.18367346938775511</v>
      </c>
      <c r="N18" s="24">
        <f t="shared" si="3"/>
        <v>0.72</v>
      </c>
      <c r="O18" s="24">
        <f t="shared" si="4"/>
        <v>3.39</v>
      </c>
      <c r="P18" s="24">
        <f t="shared" si="5"/>
        <v>0.14000000000000001</v>
      </c>
      <c r="Q18" s="24">
        <f t="shared" si="6"/>
        <v>0.83</v>
      </c>
      <c r="R18" s="24">
        <f t="shared" si="7"/>
        <v>61.019999999999996</v>
      </c>
      <c r="S18" s="24">
        <f t="shared" si="8"/>
        <v>80.88</v>
      </c>
      <c r="T18" s="24" t="s">
        <v>47</v>
      </c>
      <c r="U18" s="24" t="s">
        <v>24</v>
      </c>
      <c r="V18" s="45">
        <f t="shared" si="9"/>
        <v>0.95318604651162786</v>
      </c>
    </row>
    <row r="19" spans="1:22" x14ac:dyDescent="0.25">
      <c r="A19" s="41" t="s">
        <v>25</v>
      </c>
      <c r="B19" s="23">
        <v>29</v>
      </c>
      <c r="C19" s="23">
        <v>14</v>
      </c>
      <c r="D19" s="23">
        <v>6</v>
      </c>
      <c r="E19" s="23">
        <v>2</v>
      </c>
      <c r="F19" s="23">
        <v>58</v>
      </c>
      <c r="G19" s="24">
        <v>113</v>
      </c>
      <c r="H19" s="23">
        <v>9</v>
      </c>
      <c r="I19" s="23">
        <v>3573</v>
      </c>
      <c r="J19" s="23">
        <v>82</v>
      </c>
      <c r="K19" s="24">
        <f t="shared" si="0"/>
        <v>0.35</v>
      </c>
      <c r="L19" s="25">
        <f t="shared" si="1"/>
        <v>2.4390243902439025E-2</v>
      </c>
      <c r="M19" s="25">
        <f t="shared" si="2"/>
        <v>7.3170731707317069E-2</v>
      </c>
      <c r="N19" s="24">
        <f t="shared" si="3"/>
        <v>0.71</v>
      </c>
      <c r="O19" s="24">
        <f t="shared" si="4"/>
        <v>1.38</v>
      </c>
      <c r="P19" s="24">
        <f t="shared" si="5"/>
        <v>0.11</v>
      </c>
      <c r="Q19" s="24">
        <f t="shared" si="6"/>
        <v>0.5</v>
      </c>
      <c r="R19" s="24">
        <f t="shared" si="7"/>
        <v>48.28</v>
      </c>
      <c r="S19" s="24">
        <f t="shared" si="8"/>
        <v>43.57</v>
      </c>
      <c r="T19" s="24" t="s">
        <v>47</v>
      </c>
      <c r="U19" s="24" t="s">
        <v>24</v>
      </c>
      <c r="V19" s="45">
        <f t="shared" si="9"/>
        <v>0.66132189449801471</v>
      </c>
    </row>
    <row r="20" spans="1:22" x14ac:dyDescent="0.25">
      <c r="A20" s="38" t="s">
        <v>33</v>
      </c>
      <c r="B20" s="15">
        <v>69</v>
      </c>
      <c r="C20" s="15">
        <v>46</v>
      </c>
      <c r="D20" s="15">
        <v>13</v>
      </c>
      <c r="E20" s="15">
        <v>4</v>
      </c>
      <c r="F20" s="15">
        <v>73</v>
      </c>
      <c r="G20" s="15">
        <v>168</v>
      </c>
      <c r="H20" s="15">
        <v>28</v>
      </c>
      <c r="I20" s="15">
        <v>7920</v>
      </c>
      <c r="J20" s="15">
        <v>112</v>
      </c>
      <c r="K20" s="15">
        <f t="shared" si="0"/>
        <v>0.62</v>
      </c>
      <c r="L20" s="17">
        <f t="shared" si="1"/>
        <v>3.5714285714285712E-2</v>
      </c>
      <c r="M20" s="17">
        <f t="shared" si="2"/>
        <v>0.11607142857142858</v>
      </c>
      <c r="N20" s="15">
        <f t="shared" si="3"/>
        <v>0.65</v>
      </c>
      <c r="O20" s="15">
        <f t="shared" si="4"/>
        <v>1.5</v>
      </c>
      <c r="P20" s="15">
        <f t="shared" si="5"/>
        <v>0.25</v>
      </c>
      <c r="Q20" s="15">
        <f t="shared" si="6"/>
        <v>0.95</v>
      </c>
      <c r="R20" s="15">
        <f t="shared" si="7"/>
        <v>66.67</v>
      </c>
      <c r="S20" s="15">
        <f t="shared" si="8"/>
        <v>70.709999999999994</v>
      </c>
      <c r="T20" s="16" t="s">
        <v>47</v>
      </c>
      <c r="U20" s="16" t="s">
        <v>24</v>
      </c>
      <c r="V20" s="45">
        <f t="shared" si="9"/>
        <v>0.9755444352159468</v>
      </c>
    </row>
    <row r="21" spans="1:22" x14ac:dyDescent="0.25">
      <c r="A21" s="38" t="s">
        <v>21</v>
      </c>
      <c r="B21" s="15">
        <v>46</v>
      </c>
      <c r="C21" s="15">
        <v>22</v>
      </c>
      <c r="D21" s="15">
        <v>7</v>
      </c>
      <c r="E21" s="15">
        <v>1</v>
      </c>
      <c r="F21" s="15">
        <v>72</v>
      </c>
      <c r="G21" s="15">
        <v>160</v>
      </c>
      <c r="H21" s="15">
        <v>15</v>
      </c>
      <c r="I21" s="15">
        <v>5180</v>
      </c>
      <c r="J21" s="15">
        <v>101</v>
      </c>
      <c r="K21" s="15">
        <f t="shared" si="0"/>
        <v>0.46</v>
      </c>
      <c r="L21" s="17">
        <f t="shared" si="1"/>
        <v>9.9009900990099011E-3</v>
      </c>
      <c r="M21" s="17">
        <f t="shared" si="2"/>
        <v>6.9306930693069313E-2</v>
      </c>
      <c r="N21" s="15">
        <f t="shared" si="3"/>
        <v>0.71</v>
      </c>
      <c r="O21" s="15">
        <f t="shared" si="4"/>
        <v>1.58</v>
      </c>
      <c r="P21" s="15">
        <f t="shared" si="5"/>
        <v>0.15</v>
      </c>
      <c r="Q21" s="15">
        <f t="shared" si="6"/>
        <v>0.64</v>
      </c>
      <c r="R21" s="15">
        <f t="shared" si="7"/>
        <v>47.83</v>
      </c>
      <c r="S21" s="15">
        <f t="shared" si="8"/>
        <v>51.29</v>
      </c>
      <c r="T21" s="16" t="s">
        <v>47</v>
      </c>
      <c r="U21" s="16" t="s">
        <v>24</v>
      </c>
      <c r="V21" s="45">
        <f t="shared" si="9"/>
        <v>0.73936507022795306</v>
      </c>
    </row>
    <row r="22" spans="1:22" x14ac:dyDescent="0.25">
      <c r="A22" s="46" t="s">
        <v>43</v>
      </c>
      <c r="B22" s="47">
        <v>3</v>
      </c>
      <c r="C22" s="47">
        <v>2</v>
      </c>
      <c r="D22" s="47">
        <v>1</v>
      </c>
      <c r="E22" s="47">
        <v>1</v>
      </c>
      <c r="F22" s="47">
        <v>12</v>
      </c>
      <c r="G22" s="47">
        <v>43</v>
      </c>
      <c r="H22" s="47">
        <v>0</v>
      </c>
      <c r="I22" s="47">
        <v>432</v>
      </c>
      <c r="J22" s="47">
        <v>16</v>
      </c>
      <c r="K22" s="48">
        <f t="shared" si="0"/>
        <v>0.19</v>
      </c>
      <c r="L22" s="49">
        <f t="shared" si="1"/>
        <v>6.25E-2</v>
      </c>
      <c r="M22" s="49">
        <f t="shared" si="2"/>
        <v>6.25E-2</v>
      </c>
      <c r="N22" s="48">
        <f t="shared" si="3"/>
        <v>0.75</v>
      </c>
      <c r="O22" s="48">
        <f t="shared" si="4"/>
        <v>2.69</v>
      </c>
      <c r="P22" s="48">
        <f t="shared" si="5"/>
        <v>0</v>
      </c>
      <c r="Q22" s="48">
        <f t="shared" si="6"/>
        <v>0.25</v>
      </c>
      <c r="R22" s="48">
        <f t="shared" si="7"/>
        <v>66.67</v>
      </c>
      <c r="S22" s="48">
        <f t="shared" si="8"/>
        <v>27</v>
      </c>
      <c r="T22" s="47" t="s">
        <v>44</v>
      </c>
      <c r="U22" s="47" t="s">
        <v>24</v>
      </c>
      <c r="V22" s="45">
        <f t="shared" si="9"/>
        <v>0.47970639534883719</v>
      </c>
    </row>
  </sheetData>
  <sortState xmlns:xlrd2="http://schemas.microsoft.com/office/spreadsheetml/2017/richdata2" ref="A2:V22">
    <sortCondition sortBy="cellColor" ref="S9:S22" dxfId="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723AF-29F9-4B27-9BD4-7CDF4E72CFCA}">
  <dimension ref="A1:V22"/>
  <sheetViews>
    <sheetView showGridLines="0" zoomScaleNormal="100" workbookViewId="0">
      <selection activeCell="I16" sqref="I16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6" t="s">
        <v>31</v>
      </c>
      <c r="B2" s="9">
        <v>65</v>
      </c>
      <c r="C2" s="9">
        <v>32</v>
      </c>
      <c r="D2" s="9">
        <v>19</v>
      </c>
      <c r="E2" s="9">
        <v>5</v>
      </c>
      <c r="F2" s="9">
        <v>57</v>
      </c>
      <c r="G2" s="9">
        <v>455</v>
      </c>
      <c r="H2" s="9">
        <v>22</v>
      </c>
      <c r="I2" s="9">
        <v>7731</v>
      </c>
      <c r="J2" s="9">
        <v>93</v>
      </c>
      <c r="K2" s="9">
        <f t="shared" ref="K2:K13" si="0">ROUND(IMDIV(B2,J2),2)</f>
        <v>0.7</v>
      </c>
      <c r="L2" s="11">
        <f t="shared" ref="L2:L13" si="1">E2/J2</f>
        <v>5.3763440860215055E-2</v>
      </c>
      <c r="M2" s="11">
        <f t="shared" ref="M2:M13" si="2">D2/J2</f>
        <v>0.20430107526881722</v>
      </c>
      <c r="N2" s="9">
        <f t="shared" ref="N2:N13" si="3">ROUND(IMDIV(F2,J2),2)</f>
        <v>0.61</v>
      </c>
      <c r="O2" s="9">
        <f t="shared" ref="O2:O13" si="4">ROUND(IMDIV(G2,J2),2)</f>
        <v>4.8899999999999997</v>
      </c>
      <c r="P2" s="9">
        <f t="shared" ref="P2:P13" si="5">ROUND(IMDIV(H2,J2),2)</f>
        <v>0.24</v>
      </c>
      <c r="Q2" s="9">
        <f t="shared" ref="Q2:Q13" si="6">ROUND(IMDIV(B2,F2),2)</f>
        <v>1.1399999999999999</v>
      </c>
      <c r="R2" s="9">
        <f t="shared" ref="R2:R13" si="7">ROUND(IMDIV(C2,B2),4)*100</f>
        <v>49.230000000000004</v>
      </c>
      <c r="S2" s="9">
        <f t="shared" ref="S2:S13" si="8">ROUND(IMDIV(I2,J2),2)</f>
        <v>83.13</v>
      </c>
      <c r="T2" s="9" t="s">
        <v>76</v>
      </c>
      <c r="U2" s="10" t="s">
        <v>24</v>
      </c>
      <c r="V2" s="45">
        <f t="shared" ref="V2:V13" si="9">((K2/2.5)+(M2/4)+(L2/5)-(N2)+(S2/215)+(P2/20))+1</f>
        <v>1.1304791197799449</v>
      </c>
    </row>
    <row r="3" spans="1:22" x14ac:dyDescent="0.25">
      <c r="A3" s="36" t="s">
        <v>32</v>
      </c>
      <c r="B3" s="9">
        <v>60</v>
      </c>
      <c r="C3" s="9">
        <v>23</v>
      </c>
      <c r="D3" s="9">
        <v>15</v>
      </c>
      <c r="E3" s="9">
        <v>7</v>
      </c>
      <c r="F3" s="9">
        <v>53</v>
      </c>
      <c r="G3" s="9">
        <v>436</v>
      </c>
      <c r="H3" s="9">
        <v>7</v>
      </c>
      <c r="I3" s="9">
        <v>6294</v>
      </c>
      <c r="J3" s="9">
        <v>93</v>
      </c>
      <c r="K3" s="9">
        <f t="shared" si="0"/>
        <v>0.65</v>
      </c>
      <c r="L3" s="11">
        <f t="shared" si="1"/>
        <v>7.5268817204301078E-2</v>
      </c>
      <c r="M3" s="11">
        <f t="shared" si="2"/>
        <v>0.16129032258064516</v>
      </c>
      <c r="N3" s="9">
        <f t="shared" si="3"/>
        <v>0.56999999999999995</v>
      </c>
      <c r="O3" s="9">
        <f t="shared" si="4"/>
        <v>4.6900000000000004</v>
      </c>
      <c r="P3" s="9">
        <f t="shared" si="5"/>
        <v>0.08</v>
      </c>
      <c r="Q3" s="9">
        <f t="shared" si="6"/>
        <v>1.1299999999999999</v>
      </c>
      <c r="R3" s="9">
        <f t="shared" si="7"/>
        <v>38.33</v>
      </c>
      <c r="S3" s="9">
        <f t="shared" si="8"/>
        <v>67.680000000000007</v>
      </c>
      <c r="T3" s="9" t="s">
        <v>76</v>
      </c>
      <c r="U3" s="10" t="s">
        <v>24</v>
      </c>
      <c r="V3" s="45">
        <f t="shared" si="9"/>
        <v>1.0641670417604403</v>
      </c>
    </row>
    <row r="4" spans="1:22" x14ac:dyDescent="0.25">
      <c r="A4" s="42" t="s">
        <v>37</v>
      </c>
      <c r="B4" s="26">
        <v>30</v>
      </c>
      <c r="C4" s="26">
        <v>11</v>
      </c>
      <c r="D4" s="26">
        <v>8</v>
      </c>
      <c r="E4" s="26">
        <v>3</v>
      </c>
      <c r="F4" s="26">
        <v>13</v>
      </c>
      <c r="G4" s="26">
        <v>33</v>
      </c>
      <c r="H4" s="26">
        <v>10</v>
      </c>
      <c r="I4" s="26">
        <v>3082</v>
      </c>
      <c r="J4" s="26">
        <v>32</v>
      </c>
      <c r="K4" s="27">
        <f t="shared" si="0"/>
        <v>0.94</v>
      </c>
      <c r="L4" s="28">
        <f t="shared" si="1"/>
        <v>9.375E-2</v>
      </c>
      <c r="M4" s="28">
        <f t="shared" si="2"/>
        <v>0.25</v>
      </c>
      <c r="N4" s="27">
        <f t="shared" si="3"/>
        <v>0.41</v>
      </c>
      <c r="O4" s="27">
        <f t="shared" si="4"/>
        <v>1.03</v>
      </c>
      <c r="P4" s="27">
        <f t="shared" si="5"/>
        <v>0.31</v>
      </c>
      <c r="Q4" s="27">
        <f t="shared" si="6"/>
        <v>2.31</v>
      </c>
      <c r="R4" s="27">
        <f t="shared" si="7"/>
        <v>36.67</v>
      </c>
      <c r="S4" s="27">
        <f t="shared" si="8"/>
        <v>96.31</v>
      </c>
      <c r="T4" s="26" t="s">
        <v>45</v>
      </c>
      <c r="U4" s="26" t="s">
        <v>24</v>
      </c>
      <c r="V4" s="45">
        <f t="shared" si="9"/>
        <v>1.5107034883720929</v>
      </c>
    </row>
    <row r="5" spans="1:22" x14ac:dyDescent="0.25">
      <c r="A5" s="42" t="s">
        <v>38</v>
      </c>
      <c r="B5" s="26">
        <v>17</v>
      </c>
      <c r="C5" s="26">
        <v>9</v>
      </c>
      <c r="D5" s="26">
        <v>3</v>
      </c>
      <c r="E5" s="26">
        <v>0</v>
      </c>
      <c r="F5" s="26">
        <v>18</v>
      </c>
      <c r="G5" s="26">
        <v>89</v>
      </c>
      <c r="H5" s="26">
        <v>15</v>
      </c>
      <c r="I5" s="26">
        <v>2016</v>
      </c>
      <c r="J5" s="26">
        <v>32</v>
      </c>
      <c r="K5" s="27">
        <f t="shared" si="0"/>
        <v>0.53</v>
      </c>
      <c r="L5" s="28">
        <f t="shared" si="1"/>
        <v>0</v>
      </c>
      <c r="M5" s="28">
        <f t="shared" si="2"/>
        <v>9.375E-2</v>
      </c>
      <c r="N5" s="27">
        <f t="shared" si="3"/>
        <v>0.56000000000000005</v>
      </c>
      <c r="O5" s="27">
        <f t="shared" si="4"/>
        <v>2.78</v>
      </c>
      <c r="P5" s="27">
        <f t="shared" si="5"/>
        <v>0.47</v>
      </c>
      <c r="Q5" s="27">
        <f t="shared" si="6"/>
        <v>0.94</v>
      </c>
      <c r="R5" s="27">
        <f t="shared" si="7"/>
        <v>52.94</v>
      </c>
      <c r="S5" s="27">
        <f t="shared" si="8"/>
        <v>63</v>
      </c>
      <c r="T5" s="26" t="s">
        <v>45</v>
      </c>
      <c r="U5" s="26" t="s">
        <v>24</v>
      </c>
      <c r="V5" s="45">
        <f t="shared" si="9"/>
        <v>0.99196075581395349</v>
      </c>
    </row>
    <row r="6" spans="1:22" x14ac:dyDescent="0.25">
      <c r="A6" s="35" t="s">
        <v>28</v>
      </c>
      <c r="B6" s="6"/>
      <c r="C6" s="6"/>
      <c r="D6" s="6"/>
      <c r="E6" s="6"/>
      <c r="F6" s="6"/>
      <c r="G6" s="6"/>
      <c r="H6" s="6"/>
      <c r="I6" s="6"/>
      <c r="J6" s="6"/>
      <c r="K6" s="6" t="e">
        <f t="shared" si="0"/>
        <v>#NUM!</v>
      </c>
      <c r="L6" s="7" t="e">
        <f t="shared" si="1"/>
        <v>#DIV/0!</v>
      </c>
      <c r="M6" s="7" t="e">
        <f t="shared" si="2"/>
        <v>#DIV/0!</v>
      </c>
      <c r="N6" s="6" t="e">
        <f t="shared" si="3"/>
        <v>#NUM!</v>
      </c>
      <c r="O6" s="6" t="e">
        <f t="shared" si="4"/>
        <v>#NUM!</v>
      </c>
      <c r="P6" s="6" t="e">
        <f t="shared" si="5"/>
        <v>#NUM!</v>
      </c>
      <c r="Q6" s="6" t="e">
        <f t="shared" si="6"/>
        <v>#NUM!</v>
      </c>
      <c r="R6" s="6" t="e">
        <f t="shared" si="7"/>
        <v>#NUM!</v>
      </c>
      <c r="S6" s="6" t="e">
        <f t="shared" si="8"/>
        <v>#NUM!</v>
      </c>
      <c r="T6" s="6" t="s">
        <v>45</v>
      </c>
      <c r="U6" s="8" t="s">
        <v>24</v>
      </c>
      <c r="V6" s="45" t="e">
        <f t="shared" si="9"/>
        <v>#NUM!</v>
      </c>
    </row>
    <row r="7" spans="1:22" x14ac:dyDescent="0.25">
      <c r="A7" s="35" t="s">
        <v>27</v>
      </c>
      <c r="B7" s="6"/>
      <c r="C7" s="6"/>
      <c r="D7" s="6"/>
      <c r="E7" s="6"/>
      <c r="F7" s="6"/>
      <c r="G7" s="6"/>
      <c r="H7" s="6"/>
      <c r="I7" s="6"/>
      <c r="J7" s="6"/>
      <c r="K7" s="6" t="e">
        <f t="shared" si="0"/>
        <v>#NUM!</v>
      </c>
      <c r="L7" s="7" t="e">
        <f t="shared" si="1"/>
        <v>#DIV/0!</v>
      </c>
      <c r="M7" s="7" t="e">
        <f t="shared" si="2"/>
        <v>#DIV/0!</v>
      </c>
      <c r="N7" s="6" t="e">
        <f t="shared" si="3"/>
        <v>#NUM!</v>
      </c>
      <c r="O7" s="6" t="e">
        <f t="shared" si="4"/>
        <v>#NUM!</v>
      </c>
      <c r="P7" s="6" t="e">
        <f t="shared" si="5"/>
        <v>#NUM!</v>
      </c>
      <c r="Q7" s="6" t="e">
        <f t="shared" si="6"/>
        <v>#NUM!</v>
      </c>
      <c r="R7" s="6" t="e">
        <f t="shared" si="7"/>
        <v>#NUM!</v>
      </c>
      <c r="S7" s="6" t="e">
        <f t="shared" si="8"/>
        <v>#NUM!</v>
      </c>
      <c r="T7" s="6" t="s">
        <v>45</v>
      </c>
      <c r="U7" s="8" t="s">
        <v>24</v>
      </c>
      <c r="V7" s="45" t="e">
        <f t="shared" si="9"/>
        <v>#NUM!</v>
      </c>
    </row>
    <row r="8" spans="1:22" x14ac:dyDescent="0.25">
      <c r="A8" s="43" t="s">
        <v>39</v>
      </c>
      <c r="B8" s="29">
        <v>33</v>
      </c>
      <c r="C8" s="29">
        <v>17</v>
      </c>
      <c r="D8" s="29">
        <v>7</v>
      </c>
      <c r="E8" s="29">
        <v>3</v>
      </c>
      <c r="F8" s="29">
        <v>33</v>
      </c>
      <c r="G8" s="29">
        <v>50</v>
      </c>
      <c r="H8" s="29">
        <v>2</v>
      </c>
      <c r="I8" s="29">
        <v>3882</v>
      </c>
      <c r="J8" s="29">
        <v>49</v>
      </c>
      <c r="K8" s="30">
        <f t="shared" si="0"/>
        <v>0.67</v>
      </c>
      <c r="L8" s="31">
        <f t="shared" si="1"/>
        <v>6.1224489795918366E-2</v>
      </c>
      <c r="M8" s="31">
        <f t="shared" si="2"/>
        <v>0.14285714285714285</v>
      </c>
      <c r="N8" s="30">
        <f t="shared" si="3"/>
        <v>0.67</v>
      </c>
      <c r="O8" s="30">
        <f t="shared" si="4"/>
        <v>1.02</v>
      </c>
      <c r="P8" s="30">
        <f t="shared" si="5"/>
        <v>0.04</v>
      </c>
      <c r="Q8" s="30">
        <f t="shared" si="6"/>
        <v>1</v>
      </c>
      <c r="R8" s="30">
        <f t="shared" si="7"/>
        <v>51.519999999999996</v>
      </c>
      <c r="S8" s="30">
        <f t="shared" si="8"/>
        <v>79.22</v>
      </c>
      <c r="T8" s="29" t="s">
        <v>75</v>
      </c>
      <c r="U8" s="29" t="s">
        <v>24</v>
      </c>
      <c r="V8" s="45">
        <f t="shared" si="9"/>
        <v>1.016424299952539</v>
      </c>
    </row>
    <row r="9" spans="1:22" x14ac:dyDescent="0.25">
      <c r="A9" s="43" t="s">
        <v>40</v>
      </c>
      <c r="B9" s="29">
        <v>25</v>
      </c>
      <c r="C9" s="29">
        <v>13</v>
      </c>
      <c r="D9" s="29">
        <v>4</v>
      </c>
      <c r="E9" s="29">
        <v>1</v>
      </c>
      <c r="F9" s="29">
        <v>33</v>
      </c>
      <c r="G9" s="29">
        <v>106</v>
      </c>
      <c r="H9" s="29">
        <v>10</v>
      </c>
      <c r="I9" s="29">
        <v>2884</v>
      </c>
      <c r="J9" s="29">
        <v>49</v>
      </c>
      <c r="K9" s="30">
        <f t="shared" si="0"/>
        <v>0.51</v>
      </c>
      <c r="L9" s="31">
        <f t="shared" si="1"/>
        <v>2.0408163265306121E-2</v>
      </c>
      <c r="M9" s="31">
        <f t="shared" si="2"/>
        <v>8.1632653061224483E-2</v>
      </c>
      <c r="N9" s="30">
        <f t="shared" si="3"/>
        <v>0.67</v>
      </c>
      <c r="O9" s="30">
        <f t="shared" si="4"/>
        <v>2.16</v>
      </c>
      <c r="P9" s="30">
        <f t="shared" si="5"/>
        <v>0.2</v>
      </c>
      <c r="Q9" s="30">
        <f t="shared" si="6"/>
        <v>0.76</v>
      </c>
      <c r="R9" s="30">
        <f t="shared" si="7"/>
        <v>52</v>
      </c>
      <c r="S9" s="30">
        <f t="shared" si="8"/>
        <v>58.86</v>
      </c>
      <c r="T9" s="29" t="s">
        <v>75</v>
      </c>
      <c r="U9" s="29" t="s">
        <v>24</v>
      </c>
      <c r="V9" s="45">
        <f t="shared" si="9"/>
        <v>0.84225723777883243</v>
      </c>
    </row>
    <row r="10" spans="1:22" x14ac:dyDescent="0.25">
      <c r="A10" s="37" t="s">
        <v>29</v>
      </c>
      <c r="B10" s="12">
        <v>21</v>
      </c>
      <c r="C10" s="12">
        <v>10</v>
      </c>
      <c r="D10" s="12">
        <v>6</v>
      </c>
      <c r="E10" s="12">
        <v>1</v>
      </c>
      <c r="F10" s="12">
        <v>22</v>
      </c>
      <c r="G10" s="12">
        <v>41</v>
      </c>
      <c r="H10" s="12">
        <v>4</v>
      </c>
      <c r="I10" s="12">
        <v>2620</v>
      </c>
      <c r="J10" s="12">
        <v>32</v>
      </c>
      <c r="K10" s="12">
        <f t="shared" si="0"/>
        <v>0.66</v>
      </c>
      <c r="L10" s="13">
        <f t="shared" si="1"/>
        <v>3.125E-2</v>
      </c>
      <c r="M10" s="13">
        <f t="shared" si="2"/>
        <v>0.1875</v>
      </c>
      <c r="N10" s="12">
        <f t="shared" si="3"/>
        <v>0.69</v>
      </c>
      <c r="O10" s="12">
        <f t="shared" si="4"/>
        <v>1.28</v>
      </c>
      <c r="P10" s="12">
        <f t="shared" si="5"/>
        <v>0.13</v>
      </c>
      <c r="Q10" s="12">
        <f t="shared" si="6"/>
        <v>0.95</v>
      </c>
      <c r="R10" s="12">
        <f t="shared" si="7"/>
        <v>47.620000000000005</v>
      </c>
      <c r="S10" s="12">
        <f t="shared" si="8"/>
        <v>81.88</v>
      </c>
      <c r="T10" s="51" t="s">
        <v>46</v>
      </c>
      <c r="U10" s="12" t="s">
        <v>66</v>
      </c>
      <c r="V10" s="45">
        <f t="shared" si="9"/>
        <v>1.0144622093023257</v>
      </c>
    </row>
    <row r="11" spans="1:22" x14ac:dyDescent="0.25">
      <c r="A11" s="37" t="s">
        <v>30</v>
      </c>
      <c r="B11" s="12">
        <v>10</v>
      </c>
      <c r="C11" s="12">
        <v>6</v>
      </c>
      <c r="D11" s="12">
        <v>2</v>
      </c>
      <c r="E11" s="12">
        <v>0</v>
      </c>
      <c r="F11" s="12">
        <v>25</v>
      </c>
      <c r="G11" s="12">
        <v>0</v>
      </c>
      <c r="H11" s="12">
        <v>5</v>
      </c>
      <c r="I11" s="12">
        <v>1384</v>
      </c>
      <c r="J11" s="12">
        <v>32</v>
      </c>
      <c r="K11" s="12">
        <f t="shared" si="0"/>
        <v>0.31</v>
      </c>
      <c r="L11" s="13">
        <f t="shared" si="1"/>
        <v>0</v>
      </c>
      <c r="M11" s="13">
        <f t="shared" si="2"/>
        <v>6.25E-2</v>
      </c>
      <c r="N11" s="12">
        <f t="shared" si="3"/>
        <v>0.78</v>
      </c>
      <c r="O11" s="12">
        <f t="shared" si="4"/>
        <v>0</v>
      </c>
      <c r="P11" s="12">
        <f t="shared" si="5"/>
        <v>0.16</v>
      </c>
      <c r="Q11" s="12">
        <f t="shared" si="6"/>
        <v>0.4</v>
      </c>
      <c r="R11" s="12">
        <f t="shared" si="7"/>
        <v>60</v>
      </c>
      <c r="S11" s="12">
        <f t="shared" si="8"/>
        <v>43.25</v>
      </c>
      <c r="T11" s="51" t="s">
        <v>46</v>
      </c>
      <c r="U11" s="14" t="s">
        <v>24</v>
      </c>
      <c r="V11" s="45">
        <f t="shared" si="9"/>
        <v>0.56878779069767438</v>
      </c>
    </row>
    <row r="12" spans="1:22" x14ac:dyDescent="0.25">
      <c r="A12" s="40" t="s">
        <v>34</v>
      </c>
      <c r="B12" s="50">
        <v>37</v>
      </c>
      <c r="C12" s="50">
        <v>26</v>
      </c>
      <c r="D12" s="50">
        <v>9</v>
      </c>
      <c r="E12" s="50">
        <v>3</v>
      </c>
      <c r="F12" s="50">
        <v>29</v>
      </c>
      <c r="G12" s="50">
        <v>178</v>
      </c>
      <c r="H12" s="50">
        <v>11</v>
      </c>
      <c r="I12" s="50">
        <v>3558</v>
      </c>
      <c r="J12" s="50">
        <v>44</v>
      </c>
      <c r="K12" s="20">
        <f t="shared" si="0"/>
        <v>0.84</v>
      </c>
      <c r="L12" s="21">
        <f t="shared" si="1"/>
        <v>6.8181818181818177E-2</v>
      </c>
      <c r="M12" s="21">
        <f t="shared" si="2"/>
        <v>0.20454545454545456</v>
      </c>
      <c r="N12" s="20">
        <f t="shared" si="3"/>
        <v>0.66</v>
      </c>
      <c r="O12" s="20">
        <f t="shared" si="4"/>
        <v>4.05</v>
      </c>
      <c r="P12" s="20">
        <f t="shared" si="5"/>
        <v>0.25</v>
      </c>
      <c r="Q12" s="20">
        <f t="shared" si="6"/>
        <v>1.28</v>
      </c>
      <c r="R12" s="20">
        <f t="shared" si="7"/>
        <v>70.27</v>
      </c>
      <c r="S12" s="20">
        <f t="shared" si="8"/>
        <v>80.86</v>
      </c>
      <c r="T12" s="20" t="s">
        <v>46</v>
      </c>
      <c r="U12" s="20" t="s">
        <v>66</v>
      </c>
      <c r="V12" s="45">
        <f t="shared" si="9"/>
        <v>1.129365750528541</v>
      </c>
    </row>
    <row r="13" spans="1:22" x14ac:dyDescent="0.25">
      <c r="A13" s="40" t="s">
        <v>35</v>
      </c>
      <c r="B13" s="50">
        <v>15</v>
      </c>
      <c r="C13" s="50">
        <v>7</v>
      </c>
      <c r="D13" s="50">
        <v>1</v>
      </c>
      <c r="E13" s="50">
        <v>0</v>
      </c>
      <c r="F13" s="50">
        <v>30</v>
      </c>
      <c r="G13" s="50">
        <v>179</v>
      </c>
      <c r="H13" s="50">
        <v>9</v>
      </c>
      <c r="I13" s="50">
        <v>2517</v>
      </c>
      <c r="J13" s="50">
        <v>44</v>
      </c>
      <c r="K13" s="20">
        <f t="shared" si="0"/>
        <v>0.34</v>
      </c>
      <c r="L13" s="21">
        <f t="shared" si="1"/>
        <v>0</v>
      </c>
      <c r="M13" s="21">
        <f t="shared" si="2"/>
        <v>2.2727272727272728E-2</v>
      </c>
      <c r="N13" s="20">
        <f t="shared" si="3"/>
        <v>0.68</v>
      </c>
      <c r="O13" s="20">
        <f t="shared" si="4"/>
        <v>4.07</v>
      </c>
      <c r="P13" s="20">
        <f t="shared" si="5"/>
        <v>0.2</v>
      </c>
      <c r="Q13" s="20">
        <f t="shared" si="6"/>
        <v>0.5</v>
      </c>
      <c r="R13" s="20">
        <f t="shared" si="7"/>
        <v>46.67</v>
      </c>
      <c r="S13" s="20">
        <f t="shared" si="8"/>
        <v>57.2</v>
      </c>
      <c r="T13" s="20" t="s">
        <v>46</v>
      </c>
      <c r="U13" s="22" t="s">
        <v>24</v>
      </c>
      <c r="V13" s="45">
        <f t="shared" si="9"/>
        <v>0.73772832980972503</v>
      </c>
    </row>
    <row r="14" spans="1:22" x14ac:dyDescent="0.25">
      <c r="A14" s="52"/>
      <c r="B14" s="5"/>
      <c r="C14" s="5"/>
      <c r="D14" s="5"/>
      <c r="E14" s="5"/>
      <c r="F14" s="5"/>
      <c r="G14" s="5"/>
      <c r="H14" s="5"/>
      <c r="I14" s="5"/>
      <c r="J14" s="5"/>
      <c r="K14" s="53"/>
      <c r="L14" s="54"/>
      <c r="M14" s="54"/>
      <c r="N14" s="53"/>
      <c r="O14" s="53"/>
      <c r="P14" s="53"/>
      <c r="Q14" s="53"/>
      <c r="R14" s="53"/>
      <c r="S14" s="53"/>
      <c r="T14" s="5"/>
      <c r="U14" s="5"/>
      <c r="V14" s="55"/>
    </row>
    <row r="15" spans="1:22" x14ac:dyDescent="0.25">
      <c r="A15" s="52"/>
      <c r="B15" s="5"/>
      <c r="C15" s="5"/>
      <c r="D15" s="5"/>
      <c r="E15" s="5"/>
      <c r="F15" s="5"/>
      <c r="G15" s="5"/>
      <c r="H15" s="5"/>
      <c r="I15" s="5"/>
      <c r="J15" s="5"/>
      <c r="K15" s="53"/>
      <c r="L15" s="54"/>
      <c r="M15" s="54"/>
      <c r="N15" s="53"/>
      <c r="O15" s="53"/>
      <c r="P15" s="53"/>
      <c r="Q15" s="53"/>
      <c r="R15" s="53"/>
      <c r="S15" s="53"/>
      <c r="T15" s="5"/>
      <c r="U15" s="5"/>
      <c r="V15" s="55"/>
    </row>
    <row r="16" spans="1:22" x14ac:dyDescent="0.25">
      <c r="A16" s="56"/>
      <c r="B16" s="57"/>
      <c r="C16" s="57"/>
      <c r="D16" s="57"/>
      <c r="E16" s="57"/>
      <c r="F16" s="57"/>
      <c r="G16" s="57"/>
      <c r="H16" s="57"/>
      <c r="I16" s="57"/>
      <c r="J16" s="57"/>
      <c r="K16" s="57"/>
      <c r="L16" s="58"/>
      <c r="M16" s="58"/>
      <c r="N16" s="57"/>
      <c r="O16" s="57"/>
      <c r="P16" s="57"/>
      <c r="Q16" s="57"/>
      <c r="R16" s="57"/>
      <c r="S16" s="57"/>
      <c r="T16" s="57"/>
      <c r="U16" s="57"/>
      <c r="V16" s="55"/>
    </row>
    <row r="17" spans="1:22" x14ac:dyDescent="0.25">
      <c r="A17" s="56"/>
      <c r="B17" s="57"/>
      <c r="C17" s="57"/>
      <c r="D17" s="57"/>
      <c r="E17" s="57"/>
      <c r="F17" s="57"/>
      <c r="G17" s="57"/>
      <c r="H17" s="57"/>
      <c r="I17" s="57"/>
      <c r="J17" s="57"/>
      <c r="K17" s="57"/>
      <c r="L17" s="58"/>
      <c r="M17" s="58"/>
      <c r="N17" s="57"/>
      <c r="O17" s="57"/>
      <c r="P17" s="57"/>
      <c r="Q17" s="57"/>
      <c r="R17" s="57"/>
      <c r="S17" s="57"/>
      <c r="T17" s="57"/>
      <c r="U17" s="57"/>
      <c r="V17" s="55"/>
    </row>
    <row r="18" spans="1:22" x14ac:dyDescent="0.25">
      <c r="A18" s="56"/>
      <c r="B18" s="59"/>
      <c r="C18" s="59"/>
      <c r="D18" s="59"/>
      <c r="E18" s="59"/>
      <c r="F18" s="59"/>
      <c r="G18" s="59"/>
      <c r="H18" s="59"/>
      <c r="I18" s="59"/>
      <c r="J18" s="59"/>
      <c r="K18" s="57"/>
      <c r="L18" s="58"/>
      <c r="M18" s="58"/>
      <c r="N18" s="57"/>
      <c r="O18" s="57"/>
      <c r="P18" s="57"/>
      <c r="Q18" s="57"/>
      <c r="R18" s="57"/>
      <c r="S18" s="57"/>
      <c r="T18" s="57"/>
      <c r="U18" s="57"/>
      <c r="V18" s="55"/>
    </row>
    <row r="19" spans="1:22" x14ac:dyDescent="0.25">
      <c r="A19" s="56"/>
      <c r="B19" s="59"/>
      <c r="C19" s="59"/>
      <c r="D19" s="59"/>
      <c r="E19" s="59"/>
      <c r="F19" s="59"/>
      <c r="G19" s="57"/>
      <c r="H19" s="59"/>
      <c r="I19" s="59"/>
      <c r="J19" s="59"/>
      <c r="K19" s="57"/>
      <c r="L19" s="58"/>
      <c r="M19" s="58"/>
      <c r="N19" s="57"/>
      <c r="O19" s="57"/>
      <c r="P19" s="57"/>
      <c r="Q19" s="57"/>
      <c r="R19" s="57"/>
      <c r="S19" s="57"/>
      <c r="T19" s="57"/>
      <c r="U19" s="57"/>
      <c r="V19" s="55"/>
    </row>
    <row r="20" spans="1:22" x14ac:dyDescent="0.25">
      <c r="A20" s="60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4"/>
      <c r="M20" s="54"/>
      <c r="N20" s="53"/>
      <c r="O20" s="53"/>
      <c r="P20" s="53"/>
      <c r="Q20" s="53"/>
      <c r="R20" s="53"/>
      <c r="S20" s="53"/>
      <c r="T20" s="61"/>
      <c r="U20" s="61"/>
      <c r="V20" s="55"/>
    </row>
    <row r="21" spans="1:22" x14ac:dyDescent="0.25">
      <c r="A21" s="60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4"/>
      <c r="M21" s="54"/>
      <c r="N21" s="53"/>
      <c r="O21" s="53"/>
      <c r="P21" s="53"/>
      <c r="Q21" s="53"/>
      <c r="R21" s="53"/>
      <c r="S21" s="53"/>
      <c r="T21" s="61"/>
      <c r="U21" s="61"/>
      <c r="V21" s="55"/>
    </row>
    <row r="22" spans="1:22" x14ac:dyDescent="0.25">
      <c r="B22" s="5"/>
      <c r="C22" s="5"/>
      <c r="D22" s="5"/>
      <c r="E22" s="5"/>
      <c r="F22" s="5"/>
      <c r="G22" s="5"/>
      <c r="H22" s="5"/>
      <c r="I22" s="5"/>
      <c r="J22" s="5"/>
      <c r="K22" s="53"/>
      <c r="L22" s="54"/>
      <c r="M22" s="54"/>
      <c r="N22" s="53"/>
      <c r="O22" s="53"/>
      <c r="P22" s="53"/>
      <c r="Q22" s="53"/>
      <c r="R22" s="53"/>
      <c r="S22" s="53"/>
      <c r="T22" s="5"/>
      <c r="U22" s="5"/>
      <c r="V22" s="55"/>
    </row>
  </sheetData>
  <sortState xmlns:xlrd2="http://schemas.microsoft.com/office/spreadsheetml/2017/richdata2" ref="A2:V13">
    <sortCondition sortBy="cellColor" ref="R8:R13" dxfId="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C7BC6-1079-408F-93C8-005DF99ABE1B}">
  <dimension ref="A1:V24"/>
  <sheetViews>
    <sheetView showGridLines="0" zoomScale="97" zoomScaleNormal="100" workbookViewId="0">
      <selection activeCell="A19" sqref="A19:A21"/>
    </sheetView>
  </sheetViews>
  <sheetFormatPr defaultRowHeight="15" x14ac:dyDescent="0.25"/>
  <cols>
    <col min="1" max="1" width="12.140625" bestFit="1" customWidth="1"/>
    <col min="5" max="5" width="12.5703125" bestFit="1" customWidth="1"/>
    <col min="20" max="20" width="10.28515625" bestFit="1" customWidth="1"/>
    <col min="22" max="22" width="12.5703125" bestFit="1" customWidth="1"/>
    <col min="23" max="23" width="12.140625" bestFit="1" customWidth="1"/>
    <col min="26" max="27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6" t="s">
        <v>31</v>
      </c>
      <c r="B2" s="9">
        <v>34</v>
      </c>
      <c r="C2" s="9">
        <v>14</v>
      </c>
      <c r="D2" s="9">
        <v>11</v>
      </c>
      <c r="E2" s="9">
        <v>3</v>
      </c>
      <c r="F2" s="9">
        <v>25</v>
      </c>
      <c r="G2" s="9">
        <v>343</v>
      </c>
      <c r="H2" s="9">
        <v>12</v>
      </c>
      <c r="I2" s="9">
        <v>3379</v>
      </c>
      <c r="J2" s="9">
        <v>44</v>
      </c>
      <c r="K2" s="9">
        <f t="shared" ref="K2:K9" si="0">ROUND(IMDIV(B2,J2),2)</f>
        <v>0.77</v>
      </c>
      <c r="L2" s="11">
        <f t="shared" ref="L2:L9" si="1">E2/J2</f>
        <v>6.8181818181818177E-2</v>
      </c>
      <c r="M2" s="11">
        <f t="shared" ref="M2:M9" si="2">D2/J2</f>
        <v>0.25</v>
      </c>
      <c r="N2" s="9">
        <f t="shared" ref="N2:N9" si="3">ROUND(IMDIV(F2,J2),2)</f>
        <v>0.56999999999999995</v>
      </c>
      <c r="O2" s="9">
        <f t="shared" ref="O2:O9" si="4">ROUND(IMDIV(G2,J2),2)</f>
        <v>7.8</v>
      </c>
      <c r="P2" s="9">
        <f t="shared" ref="P2:P9" si="5">ROUND(IMDIV(H2,J2),2)</f>
        <v>0.27</v>
      </c>
      <c r="Q2" s="9">
        <f t="shared" ref="Q2:Q9" si="6">ROUND(IMDIV(B2,F2),2)</f>
        <v>1.36</v>
      </c>
      <c r="R2" s="9">
        <f t="shared" ref="R2:R9" si="7">ROUND(IMDIV(C2,B2),4)*100</f>
        <v>41.18</v>
      </c>
      <c r="S2" s="9">
        <f t="shared" ref="S2:S9" si="8">ROUND(IMDIV(I2,J2),2)</f>
        <v>76.8</v>
      </c>
      <c r="T2" s="9" t="s">
        <v>45</v>
      </c>
      <c r="U2" s="10" t="s">
        <v>24</v>
      </c>
      <c r="V2" s="45">
        <f t="shared" ref="V2:V9" si="9">((K2/2.5)+(M2/4)+(L2/5)-(N2)+(S2/215)+(P2/20))+1</f>
        <v>1.1848456659619451</v>
      </c>
    </row>
    <row r="3" spans="1:22" x14ac:dyDescent="0.25">
      <c r="A3" s="36" t="s">
        <v>32</v>
      </c>
      <c r="B3" s="9">
        <v>25</v>
      </c>
      <c r="C3" s="9">
        <v>9</v>
      </c>
      <c r="D3" s="9">
        <v>7</v>
      </c>
      <c r="E3" s="9">
        <v>2</v>
      </c>
      <c r="F3" s="9">
        <v>27</v>
      </c>
      <c r="G3" s="9">
        <v>320</v>
      </c>
      <c r="H3" s="9">
        <v>5</v>
      </c>
      <c r="I3" s="9">
        <v>3473</v>
      </c>
      <c r="J3" s="9">
        <v>44</v>
      </c>
      <c r="K3" s="9">
        <f t="shared" si="0"/>
        <v>0.56999999999999995</v>
      </c>
      <c r="L3" s="11">
        <f t="shared" si="1"/>
        <v>4.5454545454545456E-2</v>
      </c>
      <c r="M3" s="11">
        <f t="shared" si="2"/>
        <v>0.15909090909090909</v>
      </c>
      <c r="N3" s="9">
        <f t="shared" si="3"/>
        <v>0.61</v>
      </c>
      <c r="O3" s="9">
        <f t="shared" si="4"/>
        <v>7.27</v>
      </c>
      <c r="P3" s="9">
        <f t="shared" si="5"/>
        <v>0.11</v>
      </c>
      <c r="Q3" s="9">
        <f t="shared" si="6"/>
        <v>0.93</v>
      </c>
      <c r="R3" s="9">
        <f t="shared" si="7"/>
        <v>36</v>
      </c>
      <c r="S3" s="9">
        <f t="shared" si="8"/>
        <v>78.930000000000007</v>
      </c>
      <c r="T3" s="9" t="s">
        <v>45</v>
      </c>
      <c r="U3" s="10" t="s">
        <v>24</v>
      </c>
      <c r="V3" s="45">
        <f t="shared" si="9"/>
        <v>1.0394799154334038</v>
      </c>
    </row>
    <row r="4" spans="1:22" x14ac:dyDescent="0.25">
      <c r="A4" s="40" t="s">
        <v>34</v>
      </c>
      <c r="B4" s="50">
        <v>37</v>
      </c>
      <c r="C4" s="50">
        <v>26</v>
      </c>
      <c r="D4" s="50">
        <v>9</v>
      </c>
      <c r="E4" s="50">
        <v>3</v>
      </c>
      <c r="F4" s="50">
        <v>29</v>
      </c>
      <c r="G4" s="50">
        <v>178</v>
      </c>
      <c r="H4" s="50">
        <v>11</v>
      </c>
      <c r="I4" s="50">
        <v>3558</v>
      </c>
      <c r="J4" s="50">
        <v>44</v>
      </c>
      <c r="K4" s="20">
        <f t="shared" si="0"/>
        <v>0.84</v>
      </c>
      <c r="L4" s="21">
        <f t="shared" si="1"/>
        <v>6.8181818181818177E-2</v>
      </c>
      <c r="M4" s="21">
        <f t="shared" si="2"/>
        <v>0.20454545454545456</v>
      </c>
      <c r="N4" s="20">
        <f t="shared" si="3"/>
        <v>0.66</v>
      </c>
      <c r="O4" s="20">
        <f t="shared" si="4"/>
        <v>4.05</v>
      </c>
      <c r="P4" s="20">
        <f t="shared" si="5"/>
        <v>0.25</v>
      </c>
      <c r="Q4" s="20">
        <f t="shared" si="6"/>
        <v>1.28</v>
      </c>
      <c r="R4" s="20">
        <f t="shared" si="7"/>
        <v>70.27</v>
      </c>
      <c r="S4" s="20">
        <f t="shared" si="8"/>
        <v>80.86</v>
      </c>
      <c r="T4" s="20" t="s">
        <v>46</v>
      </c>
      <c r="U4" s="20" t="s">
        <v>66</v>
      </c>
      <c r="V4" s="45">
        <f t="shared" si="9"/>
        <v>1.129365750528541</v>
      </c>
    </row>
    <row r="5" spans="1:22" x14ac:dyDescent="0.25">
      <c r="A5" s="40" t="s">
        <v>35</v>
      </c>
      <c r="B5" s="50">
        <v>15</v>
      </c>
      <c r="C5" s="50">
        <v>7</v>
      </c>
      <c r="D5" s="50">
        <v>1</v>
      </c>
      <c r="E5" s="50">
        <v>0</v>
      </c>
      <c r="F5" s="50">
        <v>30</v>
      </c>
      <c r="G5" s="50">
        <v>179</v>
      </c>
      <c r="H5" s="50">
        <v>9</v>
      </c>
      <c r="I5" s="50">
        <v>2517</v>
      </c>
      <c r="J5" s="50">
        <v>44</v>
      </c>
      <c r="K5" s="20">
        <f t="shared" si="0"/>
        <v>0.34</v>
      </c>
      <c r="L5" s="21">
        <f t="shared" si="1"/>
        <v>0</v>
      </c>
      <c r="M5" s="21">
        <f t="shared" si="2"/>
        <v>2.2727272727272728E-2</v>
      </c>
      <c r="N5" s="20">
        <f t="shared" si="3"/>
        <v>0.68</v>
      </c>
      <c r="O5" s="20">
        <f t="shared" si="4"/>
        <v>4.07</v>
      </c>
      <c r="P5" s="20">
        <f t="shared" si="5"/>
        <v>0.2</v>
      </c>
      <c r="Q5" s="20">
        <f t="shared" si="6"/>
        <v>0.5</v>
      </c>
      <c r="R5" s="20">
        <f t="shared" si="7"/>
        <v>46.67</v>
      </c>
      <c r="S5" s="20">
        <f t="shared" si="8"/>
        <v>57.2</v>
      </c>
      <c r="T5" s="20" t="s">
        <v>46</v>
      </c>
      <c r="U5" s="22" t="s">
        <v>24</v>
      </c>
      <c r="V5" s="45">
        <f t="shared" si="9"/>
        <v>0.73772832980972503</v>
      </c>
    </row>
    <row r="6" spans="1:22" x14ac:dyDescent="0.25">
      <c r="A6" s="42" t="s">
        <v>37</v>
      </c>
      <c r="B6" s="26">
        <v>30</v>
      </c>
      <c r="C6" s="26">
        <v>11</v>
      </c>
      <c r="D6" s="26">
        <v>8</v>
      </c>
      <c r="E6" s="26">
        <v>3</v>
      </c>
      <c r="F6" s="26">
        <v>13</v>
      </c>
      <c r="G6" s="26">
        <v>33</v>
      </c>
      <c r="H6" s="26">
        <v>10</v>
      </c>
      <c r="I6" s="26">
        <v>3082</v>
      </c>
      <c r="J6" s="26">
        <v>32</v>
      </c>
      <c r="K6" s="27">
        <f t="shared" si="0"/>
        <v>0.94</v>
      </c>
      <c r="L6" s="28">
        <f t="shared" si="1"/>
        <v>9.375E-2</v>
      </c>
      <c r="M6" s="28">
        <f t="shared" si="2"/>
        <v>0.25</v>
      </c>
      <c r="N6" s="27">
        <f t="shared" si="3"/>
        <v>0.41</v>
      </c>
      <c r="O6" s="27">
        <f t="shared" si="4"/>
        <v>1.03</v>
      </c>
      <c r="P6" s="27">
        <f t="shared" si="5"/>
        <v>0.31</v>
      </c>
      <c r="Q6" s="27">
        <f t="shared" si="6"/>
        <v>2.31</v>
      </c>
      <c r="R6" s="27">
        <f t="shared" si="7"/>
        <v>36.67</v>
      </c>
      <c r="S6" s="27">
        <f t="shared" si="8"/>
        <v>96.31</v>
      </c>
      <c r="T6" s="26" t="s">
        <v>45</v>
      </c>
      <c r="U6" s="26" t="s">
        <v>24</v>
      </c>
      <c r="V6" s="45">
        <f t="shared" si="9"/>
        <v>1.5107034883720929</v>
      </c>
    </row>
    <row r="7" spans="1:22" x14ac:dyDescent="0.25">
      <c r="A7" s="42" t="s">
        <v>38</v>
      </c>
      <c r="B7" s="26">
        <v>17</v>
      </c>
      <c r="C7" s="26">
        <v>9</v>
      </c>
      <c r="D7" s="26">
        <v>3</v>
      </c>
      <c r="E7" s="26">
        <v>0</v>
      </c>
      <c r="F7" s="26">
        <v>18</v>
      </c>
      <c r="G7" s="26">
        <v>89</v>
      </c>
      <c r="H7" s="26">
        <v>15</v>
      </c>
      <c r="I7" s="26">
        <v>2016</v>
      </c>
      <c r="J7" s="26">
        <v>32</v>
      </c>
      <c r="K7" s="27">
        <f t="shared" si="0"/>
        <v>0.53</v>
      </c>
      <c r="L7" s="28">
        <f t="shared" si="1"/>
        <v>0</v>
      </c>
      <c r="M7" s="28">
        <f t="shared" si="2"/>
        <v>9.375E-2</v>
      </c>
      <c r="N7" s="27">
        <f t="shared" si="3"/>
        <v>0.56000000000000005</v>
      </c>
      <c r="O7" s="27">
        <f t="shared" si="4"/>
        <v>2.78</v>
      </c>
      <c r="P7" s="27">
        <f t="shared" si="5"/>
        <v>0.47</v>
      </c>
      <c r="Q7" s="27">
        <f t="shared" si="6"/>
        <v>0.94</v>
      </c>
      <c r="R7" s="27">
        <f t="shared" si="7"/>
        <v>52.94</v>
      </c>
      <c r="S7" s="27">
        <f t="shared" si="8"/>
        <v>63</v>
      </c>
      <c r="T7" s="26" t="s">
        <v>45</v>
      </c>
      <c r="U7" s="26" t="s">
        <v>24</v>
      </c>
      <c r="V7" s="45">
        <f t="shared" si="9"/>
        <v>0.99196075581395349</v>
      </c>
    </row>
    <row r="8" spans="1:22" x14ac:dyDescent="0.25">
      <c r="A8" s="37" t="s">
        <v>29</v>
      </c>
      <c r="B8" s="12">
        <v>21</v>
      </c>
      <c r="C8" s="12">
        <v>10</v>
      </c>
      <c r="D8" s="12">
        <v>6</v>
      </c>
      <c r="E8" s="12">
        <v>1</v>
      </c>
      <c r="F8" s="12">
        <v>22</v>
      </c>
      <c r="G8" s="12">
        <v>41</v>
      </c>
      <c r="H8" s="12">
        <v>4</v>
      </c>
      <c r="I8" s="12">
        <v>2620</v>
      </c>
      <c r="J8" s="12">
        <v>32</v>
      </c>
      <c r="K8" s="12">
        <f t="shared" si="0"/>
        <v>0.66</v>
      </c>
      <c r="L8" s="13">
        <f t="shared" si="1"/>
        <v>3.125E-2</v>
      </c>
      <c r="M8" s="13">
        <f t="shared" si="2"/>
        <v>0.1875</v>
      </c>
      <c r="N8" s="12">
        <f t="shared" si="3"/>
        <v>0.69</v>
      </c>
      <c r="O8" s="12">
        <f t="shared" si="4"/>
        <v>1.28</v>
      </c>
      <c r="P8" s="12">
        <f t="shared" si="5"/>
        <v>0.13</v>
      </c>
      <c r="Q8" s="12">
        <f t="shared" si="6"/>
        <v>0.95</v>
      </c>
      <c r="R8" s="12">
        <f t="shared" si="7"/>
        <v>47.620000000000005</v>
      </c>
      <c r="S8" s="12">
        <f t="shared" si="8"/>
        <v>81.88</v>
      </c>
      <c r="T8" s="51" t="s">
        <v>46</v>
      </c>
      <c r="U8" s="12" t="s">
        <v>66</v>
      </c>
      <c r="V8" s="45">
        <f t="shared" si="9"/>
        <v>1.0144622093023257</v>
      </c>
    </row>
    <row r="9" spans="1:22" x14ac:dyDescent="0.25">
      <c r="A9" s="37" t="s">
        <v>30</v>
      </c>
      <c r="B9" s="12">
        <v>10</v>
      </c>
      <c r="C9" s="12">
        <v>6</v>
      </c>
      <c r="D9" s="12">
        <v>2</v>
      </c>
      <c r="E9" s="12">
        <v>0</v>
      </c>
      <c r="F9" s="12">
        <v>25</v>
      </c>
      <c r="G9" s="12">
        <v>0</v>
      </c>
      <c r="H9" s="12">
        <v>5</v>
      </c>
      <c r="I9" s="12">
        <v>1384</v>
      </c>
      <c r="J9" s="12">
        <v>32</v>
      </c>
      <c r="K9" s="12">
        <f t="shared" si="0"/>
        <v>0.31</v>
      </c>
      <c r="L9" s="13">
        <f t="shared" si="1"/>
        <v>0</v>
      </c>
      <c r="M9" s="13">
        <f t="shared" si="2"/>
        <v>6.25E-2</v>
      </c>
      <c r="N9" s="12">
        <f t="shared" si="3"/>
        <v>0.78</v>
      </c>
      <c r="O9" s="12">
        <f t="shared" si="4"/>
        <v>0</v>
      </c>
      <c r="P9" s="12">
        <f t="shared" si="5"/>
        <v>0.16</v>
      </c>
      <c r="Q9" s="12">
        <f t="shared" si="6"/>
        <v>0.4</v>
      </c>
      <c r="R9" s="12">
        <f t="shared" si="7"/>
        <v>60</v>
      </c>
      <c r="S9" s="12">
        <f t="shared" si="8"/>
        <v>43.25</v>
      </c>
      <c r="T9" s="51" t="s">
        <v>46</v>
      </c>
      <c r="U9" s="14" t="s">
        <v>24</v>
      </c>
      <c r="V9" s="45">
        <f t="shared" si="9"/>
        <v>0.56878779069767438</v>
      </c>
    </row>
    <row r="10" spans="1:22" x14ac:dyDescent="0.25">
      <c r="A10" s="52" t="s">
        <v>58</v>
      </c>
      <c r="B10" s="5"/>
      <c r="C10" s="5"/>
      <c r="D10" s="5"/>
      <c r="E10" s="5"/>
      <c r="F10" s="5"/>
      <c r="G10" s="5"/>
      <c r="H10" s="5"/>
      <c r="I10" s="5"/>
      <c r="J10" s="5"/>
      <c r="K10" s="53"/>
      <c r="L10" s="54"/>
      <c r="M10" s="54"/>
      <c r="N10" s="53"/>
      <c r="O10" s="53"/>
      <c r="P10" s="53"/>
      <c r="Q10" s="53"/>
      <c r="R10" s="53"/>
      <c r="S10" s="53"/>
      <c r="T10" s="5"/>
      <c r="U10" s="5"/>
      <c r="V10" s="55"/>
    </row>
    <row r="11" spans="1:22" x14ac:dyDescent="0.25">
      <c r="A11" s="70" t="s">
        <v>56</v>
      </c>
      <c r="B11" s="62" t="s">
        <v>52</v>
      </c>
      <c r="C11" s="63" t="s">
        <v>53</v>
      </c>
      <c r="D11" s="64" t="s">
        <v>18</v>
      </c>
      <c r="E11" s="62" t="s">
        <v>42</v>
      </c>
      <c r="F11" s="62" t="s">
        <v>10</v>
      </c>
      <c r="G11" s="62" t="s">
        <v>59</v>
      </c>
      <c r="H11" s="62" t="s">
        <v>60</v>
      </c>
      <c r="I11" s="62" t="s">
        <v>13</v>
      </c>
      <c r="J11" s="64" t="s">
        <v>6</v>
      </c>
      <c r="K11" s="64" t="s">
        <v>15</v>
      </c>
      <c r="L11" s="64" t="s">
        <v>16</v>
      </c>
      <c r="M11" s="64" t="s">
        <v>17</v>
      </c>
      <c r="N11" s="53"/>
      <c r="O11" s="53"/>
      <c r="P11" s="53"/>
      <c r="Q11" s="53"/>
      <c r="R11" s="53"/>
      <c r="S11" s="53"/>
      <c r="T11" s="5"/>
      <c r="U11" s="5"/>
      <c r="V11" s="55"/>
    </row>
    <row r="12" spans="1:22" x14ac:dyDescent="0.25">
      <c r="A12" s="65" t="s">
        <v>31</v>
      </c>
      <c r="B12" s="62" t="s">
        <v>48</v>
      </c>
      <c r="C12" s="66" t="s">
        <v>54</v>
      </c>
      <c r="D12" s="67">
        <v>76.8</v>
      </c>
      <c r="E12" s="68">
        <v>1.1848456659619451</v>
      </c>
      <c r="F12" s="67">
        <v>0.77</v>
      </c>
      <c r="G12" s="67">
        <v>3</v>
      </c>
      <c r="H12" s="67">
        <v>11</v>
      </c>
      <c r="I12" s="67">
        <v>0.56999999999999995</v>
      </c>
      <c r="J12" s="67">
        <v>343</v>
      </c>
      <c r="K12" s="67">
        <v>0.27</v>
      </c>
      <c r="L12" s="67">
        <v>1.36</v>
      </c>
      <c r="M12" s="67">
        <v>41.18</v>
      </c>
      <c r="N12" s="57"/>
      <c r="O12" s="57"/>
      <c r="P12" s="57"/>
      <c r="Q12" s="57"/>
      <c r="R12" s="57"/>
      <c r="S12" s="57"/>
      <c r="T12" s="57"/>
      <c r="U12" s="57"/>
      <c r="V12" s="55"/>
    </row>
    <row r="13" spans="1:22" x14ac:dyDescent="0.25">
      <c r="A13" s="65" t="s">
        <v>32</v>
      </c>
      <c r="B13" s="62" t="s">
        <v>49</v>
      </c>
      <c r="C13" s="69">
        <v>-2</v>
      </c>
      <c r="D13" s="67">
        <v>78.930000000000007</v>
      </c>
      <c r="E13" s="68">
        <v>1.0394799154334038</v>
      </c>
      <c r="F13" s="67">
        <v>0.56999999999999995</v>
      </c>
      <c r="G13" s="67">
        <v>2</v>
      </c>
      <c r="H13" s="67">
        <v>7</v>
      </c>
      <c r="I13" s="67">
        <v>0.61</v>
      </c>
      <c r="J13" s="67">
        <v>320</v>
      </c>
      <c r="K13" s="67">
        <v>0.11</v>
      </c>
      <c r="L13" s="67">
        <v>0.93</v>
      </c>
      <c r="M13" s="67">
        <v>36</v>
      </c>
      <c r="N13" s="57"/>
      <c r="O13" s="57"/>
      <c r="P13" s="57"/>
      <c r="Q13" s="57"/>
      <c r="R13" s="57"/>
      <c r="S13" s="57"/>
      <c r="T13" s="57"/>
      <c r="U13" s="57"/>
      <c r="V13" s="55"/>
    </row>
    <row r="14" spans="1:22" x14ac:dyDescent="0.25">
      <c r="A14" s="71" t="s">
        <v>57</v>
      </c>
      <c r="B14" s="73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57"/>
      <c r="O14" s="57"/>
      <c r="P14" s="57"/>
      <c r="Q14" s="57"/>
      <c r="R14" s="57"/>
      <c r="S14" s="57"/>
      <c r="T14" s="57"/>
      <c r="U14" s="57"/>
      <c r="V14" s="55"/>
    </row>
    <row r="15" spans="1:22" x14ac:dyDescent="0.25">
      <c r="A15" s="65" t="s">
        <v>34</v>
      </c>
      <c r="B15" s="62" t="s">
        <v>50</v>
      </c>
      <c r="C15" s="66" t="s">
        <v>55</v>
      </c>
      <c r="D15" s="67">
        <v>80.86</v>
      </c>
      <c r="E15" s="68">
        <v>1.129365750528541</v>
      </c>
      <c r="F15" s="67">
        <v>0.84</v>
      </c>
      <c r="G15" s="72">
        <v>3</v>
      </c>
      <c r="H15" s="72">
        <v>9</v>
      </c>
      <c r="I15" s="67">
        <v>0.66</v>
      </c>
      <c r="J15" s="72">
        <v>178</v>
      </c>
      <c r="K15" s="67">
        <v>0.25</v>
      </c>
      <c r="L15" s="67">
        <v>1.28</v>
      </c>
      <c r="M15" s="67">
        <v>70.27</v>
      </c>
      <c r="N15" s="57"/>
      <c r="O15" s="57"/>
      <c r="P15" s="57"/>
      <c r="Q15" s="57"/>
      <c r="R15" s="57"/>
      <c r="S15" s="57"/>
      <c r="T15" s="57"/>
      <c r="U15" s="57"/>
      <c r="V15" s="55"/>
    </row>
    <row r="16" spans="1:22" x14ac:dyDescent="0.25">
      <c r="A16" s="65" t="s">
        <v>35</v>
      </c>
      <c r="B16" s="62" t="s">
        <v>51</v>
      </c>
      <c r="C16" s="69">
        <v>-15</v>
      </c>
      <c r="D16" s="67">
        <v>57.2</v>
      </c>
      <c r="E16" s="68">
        <v>0.73772832980972503</v>
      </c>
      <c r="F16" s="67">
        <v>0.34</v>
      </c>
      <c r="G16" s="72">
        <v>0</v>
      </c>
      <c r="H16" s="72">
        <v>1</v>
      </c>
      <c r="I16" s="67">
        <v>0.68</v>
      </c>
      <c r="J16" s="72">
        <v>179</v>
      </c>
      <c r="K16" s="67">
        <v>0.2</v>
      </c>
      <c r="L16" s="67">
        <v>0.5</v>
      </c>
      <c r="M16" s="67">
        <v>46.67</v>
      </c>
      <c r="N16" s="53"/>
      <c r="O16" s="53"/>
      <c r="P16" s="53"/>
      <c r="Q16" s="53"/>
      <c r="R16" s="53"/>
      <c r="S16" s="53"/>
      <c r="T16" s="61"/>
      <c r="U16" s="61"/>
      <c r="V16" s="55"/>
    </row>
    <row r="17" spans="1:22" x14ac:dyDescent="0.25">
      <c r="A17" s="60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4"/>
      <c r="M17" s="54"/>
      <c r="N17" s="53"/>
      <c r="O17" s="53"/>
      <c r="P17" s="53"/>
      <c r="Q17" s="53"/>
      <c r="R17" s="53"/>
      <c r="S17" s="53"/>
      <c r="T17" s="61"/>
      <c r="U17" s="61"/>
      <c r="V17" s="55"/>
    </row>
    <row r="18" spans="1:22" x14ac:dyDescent="0.25">
      <c r="A18" s="52" t="s">
        <v>61</v>
      </c>
      <c r="B18" s="5"/>
      <c r="C18" s="5"/>
      <c r="D18" s="5"/>
      <c r="E18" s="5"/>
      <c r="F18" s="5"/>
      <c r="G18" s="5"/>
      <c r="H18" s="5"/>
      <c r="I18" s="5"/>
      <c r="J18" s="5"/>
      <c r="K18" s="53"/>
      <c r="L18" s="54"/>
      <c r="M18" s="54"/>
      <c r="N18" s="53"/>
      <c r="O18" s="53"/>
      <c r="P18" s="53"/>
      <c r="Q18" s="53"/>
      <c r="R18" s="53"/>
      <c r="S18" s="53"/>
      <c r="T18" s="5"/>
      <c r="U18" s="5"/>
      <c r="V18" s="55"/>
    </row>
    <row r="19" spans="1:22" x14ac:dyDescent="0.25">
      <c r="A19" s="75" t="s">
        <v>62</v>
      </c>
      <c r="B19" s="62" t="s">
        <v>52</v>
      </c>
      <c r="C19" s="63" t="s">
        <v>53</v>
      </c>
      <c r="D19" s="64" t="s">
        <v>18</v>
      </c>
      <c r="E19" s="62" t="s">
        <v>42</v>
      </c>
      <c r="F19" s="62" t="s">
        <v>10</v>
      </c>
      <c r="G19" s="62" t="s">
        <v>59</v>
      </c>
      <c r="H19" s="62" t="s">
        <v>60</v>
      </c>
      <c r="I19" s="62" t="s">
        <v>13</v>
      </c>
      <c r="J19" s="64" t="s">
        <v>6</v>
      </c>
      <c r="K19" s="64" t="s">
        <v>15</v>
      </c>
      <c r="L19" s="64" t="s">
        <v>16</v>
      </c>
      <c r="M19" s="64" t="s">
        <v>17</v>
      </c>
    </row>
    <row r="20" spans="1:22" x14ac:dyDescent="0.25">
      <c r="A20" s="65" t="s">
        <v>37</v>
      </c>
      <c r="B20" s="62" t="s">
        <v>67</v>
      </c>
      <c r="C20" s="66">
        <v>17</v>
      </c>
      <c r="D20" s="67">
        <v>96.31</v>
      </c>
      <c r="E20" s="68">
        <v>1.5107034883720929</v>
      </c>
      <c r="F20" s="67">
        <v>0.94</v>
      </c>
      <c r="G20" s="67">
        <v>3</v>
      </c>
      <c r="H20" s="67">
        <v>8</v>
      </c>
      <c r="I20" s="67">
        <v>0.41</v>
      </c>
      <c r="J20" s="67">
        <v>33</v>
      </c>
      <c r="K20" s="67">
        <v>0.31</v>
      </c>
      <c r="L20" s="67">
        <v>2.31</v>
      </c>
      <c r="M20" s="67">
        <v>36.67</v>
      </c>
    </row>
    <row r="21" spans="1:22" x14ac:dyDescent="0.25">
      <c r="A21" s="65" t="s">
        <v>38</v>
      </c>
      <c r="B21" s="62" t="s">
        <v>68</v>
      </c>
      <c r="C21" s="69">
        <v>-1</v>
      </c>
      <c r="D21" s="67">
        <v>63</v>
      </c>
      <c r="E21" s="68">
        <v>0.99196075581395349</v>
      </c>
      <c r="F21" s="67">
        <v>0.53</v>
      </c>
      <c r="G21" s="67">
        <v>0</v>
      </c>
      <c r="H21" s="67">
        <v>3</v>
      </c>
      <c r="I21" s="67">
        <v>0.56000000000000005</v>
      </c>
      <c r="J21" s="67">
        <v>89</v>
      </c>
      <c r="K21" s="67">
        <v>0.47</v>
      </c>
      <c r="L21" s="67">
        <v>0.94</v>
      </c>
      <c r="M21" s="67">
        <v>52.94</v>
      </c>
    </row>
    <row r="22" spans="1:22" x14ac:dyDescent="0.25">
      <c r="A22" s="74" t="s">
        <v>57</v>
      </c>
      <c r="B22" s="63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</row>
    <row r="23" spans="1:22" x14ac:dyDescent="0.25">
      <c r="A23" s="65" t="s">
        <v>29</v>
      </c>
      <c r="B23" s="62" t="s">
        <v>69</v>
      </c>
      <c r="C23" s="66">
        <v>-1</v>
      </c>
      <c r="D23" s="62">
        <v>81.88</v>
      </c>
      <c r="E23" s="62">
        <v>1.01</v>
      </c>
      <c r="F23" s="62">
        <v>0.66</v>
      </c>
      <c r="G23" s="62">
        <v>1</v>
      </c>
      <c r="H23" s="62">
        <v>6</v>
      </c>
      <c r="I23" s="62">
        <v>0.69</v>
      </c>
      <c r="J23" s="62">
        <v>41</v>
      </c>
      <c r="K23" s="62">
        <v>0.13</v>
      </c>
      <c r="L23" s="62">
        <v>0.95</v>
      </c>
      <c r="M23" s="62">
        <v>47.620000000000005</v>
      </c>
    </row>
    <row r="24" spans="1:22" x14ac:dyDescent="0.25">
      <c r="A24" s="65" t="s">
        <v>30</v>
      </c>
      <c r="B24" s="79" t="s">
        <v>70</v>
      </c>
      <c r="C24" s="69">
        <v>-15</v>
      </c>
      <c r="D24" s="67">
        <v>43.25</v>
      </c>
      <c r="E24" s="68">
        <v>0.56878779069767438</v>
      </c>
      <c r="F24" s="67">
        <v>0.31</v>
      </c>
      <c r="G24" s="72">
        <v>0</v>
      </c>
      <c r="H24" s="72">
        <v>2</v>
      </c>
      <c r="I24" s="67">
        <v>0.78</v>
      </c>
      <c r="J24" s="72">
        <v>0</v>
      </c>
      <c r="K24" s="67">
        <v>0.16</v>
      </c>
      <c r="L24" s="67">
        <v>0.4</v>
      </c>
      <c r="M24" s="67">
        <v>60</v>
      </c>
    </row>
  </sheetData>
  <sortState xmlns:xlrd2="http://schemas.microsoft.com/office/spreadsheetml/2017/richdata2" ref="A2:V9">
    <sortCondition sortBy="cellColor" ref="A5:A9" dxfId="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7AC2-0114-4A6D-BFFC-5EDF88F8CE8F}">
  <dimension ref="A1:V24"/>
  <sheetViews>
    <sheetView showGridLines="0" tabSelected="1" zoomScaleNormal="100" workbookViewId="0">
      <selection activeCell="Q14" sqref="Q14"/>
    </sheetView>
  </sheetViews>
  <sheetFormatPr defaultRowHeight="15" x14ac:dyDescent="0.25"/>
  <cols>
    <col min="1" max="1" width="12.140625" bestFit="1" customWidth="1"/>
    <col min="5" max="5" width="11.57031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43" t="s">
        <v>39</v>
      </c>
      <c r="B2" s="29">
        <v>33</v>
      </c>
      <c r="C2" s="29">
        <v>17</v>
      </c>
      <c r="D2" s="29">
        <v>7</v>
      </c>
      <c r="E2" s="29">
        <v>3</v>
      </c>
      <c r="F2" s="29">
        <v>33</v>
      </c>
      <c r="G2" s="29">
        <v>50</v>
      </c>
      <c r="H2" s="29">
        <v>2</v>
      </c>
      <c r="I2" s="29">
        <v>3882</v>
      </c>
      <c r="J2" s="29">
        <v>49</v>
      </c>
      <c r="K2" s="30">
        <f>ROUND(IMDIV(B2,J2),2)</f>
        <v>0.67</v>
      </c>
      <c r="L2" s="31">
        <f>E2/J2</f>
        <v>6.1224489795918366E-2</v>
      </c>
      <c r="M2" s="31">
        <f>D2/J2</f>
        <v>0.14285714285714285</v>
      </c>
      <c r="N2" s="30">
        <f>ROUND(IMDIV(F2,J2),2)</f>
        <v>0.67</v>
      </c>
      <c r="O2" s="30">
        <f>ROUND(IMDIV(G2,J2),2)</f>
        <v>1.02</v>
      </c>
      <c r="P2" s="30">
        <f>ROUND(IMDIV(H2,J2),2)</f>
        <v>0.04</v>
      </c>
      <c r="Q2" s="30">
        <f>ROUND(IMDIV(B2,F2),2)</f>
        <v>1</v>
      </c>
      <c r="R2" s="30">
        <f>ROUND(IMDIV(C2,B2),4)*100</f>
        <v>51.519999999999996</v>
      </c>
      <c r="S2" s="30">
        <f>ROUND(IMDIV(I2,J2),2)</f>
        <v>79.22</v>
      </c>
      <c r="T2" s="29" t="s">
        <v>45</v>
      </c>
      <c r="U2" s="29" t="s">
        <v>24</v>
      </c>
      <c r="V2" s="45">
        <f>((K2/2.5)+(M2/4)+(L2/5)-(N2)+(S2/215)+(P2/20))+1</f>
        <v>1.016424299952539</v>
      </c>
    </row>
    <row r="3" spans="1:22" x14ac:dyDescent="0.25">
      <c r="A3" s="43" t="s">
        <v>40</v>
      </c>
      <c r="B3" s="29">
        <v>25</v>
      </c>
      <c r="C3" s="29">
        <v>13</v>
      </c>
      <c r="D3" s="29">
        <v>4</v>
      </c>
      <c r="E3" s="29">
        <v>1</v>
      </c>
      <c r="F3" s="29">
        <v>33</v>
      </c>
      <c r="G3" s="29">
        <v>106</v>
      </c>
      <c r="H3" s="29">
        <v>10</v>
      </c>
      <c r="I3" s="29">
        <v>2884</v>
      </c>
      <c r="J3" s="29">
        <v>49</v>
      </c>
      <c r="K3" s="30">
        <f>ROUND(IMDIV(B3,J3),2)</f>
        <v>0.51</v>
      </c>
      <c r="L3" s="31">
        <f>E3/J3</f>
        <v>2.0408163265306121E-2</v>
      </c>
      <c r="M3" s="31">
        <f>D3/J3</f>
        <v>8.1632653061224483E-2</v>
      </c>
      <c r="N3" s="30">
        <f>ROUND(IMDIV(F3,J3),2)</f>
        <v>0.67</v>
      </c>
      <c r="O3" s="30">
        <f>ROUND(IMDIV(G3,J3),2)</f>
        <v>2.16</v>
      </c>
      <c r="P3" s="30">
        <f>ROUND(IMDIV(H3,J3),2)</f>
        <v>0.2</v>
      </c>
      <c r="Q3" s="30">
        <f>ROUND(IMDIV(B3,F3),2)</f>
        <v>0.76</v>
      </c>
      <c r="R3" s="30">
        <f>ROUND(IMDIV(C3,B3),4)*100</f>
        <v>52</v>
      </c>
      <c r="S3" s="30">
        <f>ROUND(IMDIV(I3,J3),2)</f>
        <v>58.86</v>
      </c>
      <c r="T3" s="29" t="s">
        <v>45</v>
      </c>
      <c r="U3" s="29" t="s">
        <v>24</v>
      </c>
      <c r="V3" s="45">
        <f>((K3/2.5)+(M3/4)+(L3/5)-(N3)+(S3/215)+(P3/20))+1</f>
        <v>0.84225723777883243</v>
      </c>
    </row>
    <row r="4" spans="1:22" x14ac:dyDescent="0.25">
      <c r="A4" s="36" t="s">
        <v>31</v>
      </c>
      <c r="B4" s="9">
        <v>31</v>
      </c>
      <c r="C4" s="9">
        <v>18</v>
      </c>
      <c r="D4" s="9">
        <v>8</v>
      </c>
      <c r="E4" s="9">
        <v>2</v>
      </c>
      <c r="F4" s="9">
        <v>32</v>
      </c>
      <c r="G4" s="9">
        <v>112</v>
      </c>
      <c r="H4" s="9">
        <v>10</v>
      </c>
      <c r="I4" s="9">
        <v>4352</v>
      </c>
      <c r="J4" s="9">
        <v>49</v>
      </c>
      <c r="K4" s="9">
        <f>ROUND(IMDIV(B4,J4),2)</f>
        <v>0.63</v>
      </c>
      <c r="L4" s="11">
        <f>E4/J4</f>
        <v>4.0816326530612242E-2</v>
      </c>
      <c r="M4" s="11">
        <f>D4/J4</f>
        <v>0.16326530612244897</v>
      </c>
      <c r="N4" s="9">
        <f>ROUND(IMDIV(F4,J4),2)</f>
        <v>0.65</v>
      </c>
      <c r="O4" s="9">
        <f>ROUND(IMDIV(G4,J4),2)</f>
        <v>2.29</v>
      </c>
      <c r="P4" s="9">
        <f>ROUND(IMDIV(H4,J4),2)</f>
        <v>0.2</v>
      </c>
      <c r="Q4" s="9">
        <f>ROUND(IMDIV(B4,F4),2)</f>
        <v>0.97</v>
      </c>
      <c r="R4" s="9">
        <f>ROUND(IMDIV(C4,B4),4)*100</f>
        <v>58.06</v>
      </c>
      <c r="S4" s="9">
        <f>ROUND(IMDIV(I4,J4),2)</f>
        <v>88.82</v>
      </c>
      <c r="T4" s="9" t="s">
        <v>76</v>
      </c>
      <c r="U4" s="10" t="s">
        <v>24</v>
      </c>
      <c r="V4" s="45">
        <f>((K4/2.5)+(M4/4)+(L4/5)-(N4)+(S4/215)+(P4/20))+1</f>
        <v>1.074095870906502</v>
      </c>
    </row>
    <row r="5" spans="1:22" x14ac:dyDescent="0.25">
      <c r="A5" s="36" t="s">
        <v>32</v>
      </c>
      <c r="B5" s="9">
        <v>35</v>
      </c>
      <c r="C5" s="9">
        <v>14</v>
      </c>
      <c r="D5" s="9">
        <v>8</v>
      </c>
      <c r="E5" s="9">
        <v>5</v>
      </c>
      <c r="F5" s="9">
        <v>26</v>
      </c>
      <c r="G5" s="9">
        <v>116</v>
      </c>
      <c r="H5" s="9">
        <v>2</v>
      </c>
      <c r="I5" s="9">
        <v>2821</v>
      </c>
      <c r="J5" s="9">
        <v>49</v>
      </c>
      <c r="K5" s="9">
        <f>ROUND(IMDIV(B5,J5),2)</f>
        <v>0.71</v>
      </c>
      <c r="L5" s="11">
        <f>E5/J5</f>
        <v>0.10204081632653061</v>
      </c>
      <c r="M5" s="11">
        <f>D5/J5</f>
        <v>0.16326530612244897</v>
      </c>
      <c r="N5" s="9">
        <f>ROUND(IMDIV(F5,J5),2)</f>
        <v>0.53</v>
      </c>
      <c r="O5" s="9">
        <f>ROUND(IMDIV(G5,J5),2)</f>
        <v>2.37</v>
      </c>
      <c r="P5" s="9">
        <f>ROUND(IMDIV(H5,J5),2)</f>
        <v>0.04</v>
      </c>
      <c r="Q5" s="9">
        <f>ROUND(IMDIV(B5,F5),2)</f>
        <v>1.35</v>
      </c>
      <c r="R5" s="9">
        <f>ROUND(IMDIV(C5,B5),4)*100</f>
        <v>40</v>
      </c>
      <c r="S5" s="9">
        <f>ROUND(IMDIV(I5,J5),2)</f>
        <v>57.57</v>
      </c>
      <c r="T5" s="9" t="s">
        <v>76</v>
      </c>
      <c r="U5" s="10" t="s">
        <v>24</v>
      </c>
      <c r="V5" s="45">
        <f>((K5/2.5)+(M5/4)+(L5/5)-(N5)+(S5/215)+(P5/20))+1</f>
        <v>1.0849919316563834</v>
      </c>
    </row>
    <row r="6" spans="1:22" x14ac:dyDescent="0.25">
      <c r="A6" s="35" t="s">
        <v>28</v>
      </c>
      <c r="B6" s="6"/>
      <c r="C6" s="6"/>
      <c r="D6" s="6"/>
      <c r="E6" s="6"/>
      <c r="F6" s="6"/>
      <c r="G6" s="6"/>
      <c r="H6" s="6"/>
      <c r="I6" s="6"/>
      <c r="J6" s="6"/>
      <c r="K6" s="6" t="e">
        <f>ROUND(IMDIV(B6,J6),2)</f>
        <v>#NUM!</v>
      </c>
      <c r="L6" s="7" t="e">
        <f>E6/J6</f>
        <v>#DIV/0!</v>
      </c>
      <c r="M6" s="7" t="e">
        <f>D6/J6</f>
        <v>#DIV/0!</v>
      </c>
      <c r="N6" s="6" t="e">
        <f>ROUND(IMDIV(F6,J6),2)</f>
        <v>#NUM!</v>
      </c>
      <c r="O6" s="6" t="e">
        <f>ROUND(IMDIV(G6,J6),2)</f>
        <v>#NUM!</v>
      </c>
      <c r="P6" s="6" t="e">
        <f>ROUND(IMDIV(H6,J6),2)</f>
        <v>#NUM!</v>
      </c>
      <c r="Q6" s="6" t="e">
        <f>ROUND(IMDIV(B6,F6),2)</f>
        <v>#NUM!</v>
      </c>
      <c r="R6" s="6" t="e">
        <f>ROUND(IMDIV(C6,B6),4)*100</f>
        <v>#NUM!</v>
      </c>
      <c r="S6" s="6" t="e">
        <f>ROUND(IMDIV(I6,J6),2)</f>
        <v>#NUM!</v>
      </c>
      <c r="T6" s="6" t="s">
        <v>45</v>
      </c>
      <c r="U6" s="8" t="s">
        <v>24</v>
      </c>
      <c r="V6" s="45" t="e">
        <f>((K6/2.5)+(M6/4)+(L6/5)-(N6)+(S6/215)+(P6/20))+1</f>
        <v>#NUM!</v>
      </c>
    </row>
    <row r="7" spans="1:22" x14ac:dyDescent="0.25">
      <c r="A7" s="35" t="s">
        <v>27</v>
      </c>
      <c r="B7" s="6"/>
      <c r="C7" s="6"/>
      <c r="D7" s="6"/>
      <c r="E7" s="6"/>
      <c r="F7" s="6"/>
      <c r="G7" s="6"/>
      <c r="H7" s="6"/>
      <c r="I7" s="6"/>
      <c r="J7" s="6"/>
      <c r="K7" s="6" t="e">
        <f>ROUND(IMDIV(B7,J7),2)</f>
        <v>#NUM!</v>
      </c>
      <c r="L7" s="7" t="e">
        <f>E7/J7</f>
        <v>#DIV/0!</v>
      </c>
      <c r="M7" s="7" t="e">
        <f>D7/J7</f>
        <v>#DIV/0!</v>
      </c>
      <c r="N7" s="6" t="e">
        <f>ROUND(IMDIV(F7,J7),2)</f>
        <v>#NUM!</v>
      </c>
      <c r="O7" s="6" t="e">
        <f>ROUND(IMDIV(G7,J7),2)</f>
        <v>#NUM!</v>
      </c>
      <c r="P7" s="6" t="e">
        <f>ROUND(IMDIV(H7,J7),2)</f>
        <v>#NUM!</v>
      </c>
      <c r="Q7" s="6" t="e">
        <f>ROUND(IMDIV(B7,F7),2)</f>
        <v>#NUM!</v>
      </c>
      <c r="R7" s="6" t="e">
        <f>ROUND(IMDIV(C7,B7),4)*100</f>
        <v>#NUM!</v>
      </c>
      <c r="S7" s="6" t="e">
        <f>ROUND(IMDIV(I7,J7),2)</f>
        <v>#NUM!</v>
      </c>
      <c r="T7" s="6" t="s">
        <v>45</v>
      </c>
      <c r="U7" s="8" t="s">
        <v>24</v>
      </c>
      <c r="V7" s="45" t="e">
        <f>((K7/2.5)+(M7/4)+(L7/5)-(N7)+(S7/215)+(P7/20))+1</f>
        <v>#NUM!</v>
      </c>
    </row>
    <row r="8" spans="1:22" x14ac:dyDescent="0.25">
      <c r="A8" s="42" t="s">
        <v>37</v>
      </c>
      <c r="B8" s="26"/>
      <c r="C8" s="26"/>
      <c r="D8" s="26"/>
      <c r="E8" s="26"/>
      <c r="F8" s="26"/>
      <c r="G8" s="26"/>
      <c r="H8" s="26"/>
      <c r="I8" s="26"/>
      <c r="J8" s="26"/>
      <c r="K8" s="27" t="e">
        <f>ROUND(IMDIV(B8,J8),2)</f>
        <v>#NUM!</v>
      </c>
      <c r="L8" s="28" t="e">
        <f>E8/J8</f>
        <v>#DIV/0!</v>
      </c>
      <c r="M8" s="28" t="e">
        <f>D8/J8</f>
        <v>#DIV/0!</v>
      </c>
      <c r="N8" s="27" t="e">
        <f>ROUND(IMDIV(F8,J8),2)</f>
        <v>#NUM!</v>
      </c>
      <c r="O8" s="27" t="e">
        <f>ROUND(IMDIV(G8,J8),2)</f>
        <v>#NUM!</v>
      </c>
      <c r="P8" s="27" t="e">
        <f>ROUND(IMDIV(H8,J8),2)</f>
        <v>#NUM!</v>
      </c>
      <c r="Q8" s="27" t="e">
        <f>ROUND(IMDIV(B8,F8),2)</f>
        <v>#NUM!</v>
      </c>
      <c r="R8" s="27" t="e">
        <f>ROUND(IMDIV(C8,B8),4)*100</f>
        <v>#NUM!</v>
      </c>
      <c r="S8" s="27" t="e">
        <f>ROUND(IMDIV(I8,J8),2)</f>
        <v>#NUM!</v>
      </c>
      <c r="T8" s="26" t="s">
        <v>45</v>
      </c>
      <c r="U8" s="26" t="s">
        <v>24</v>
      </c>
      <c r="V8" s="45" t="e">
        <f>((K8/2.5)+(M8/4)+(L8/5)-(N8)+(S8/215)+(P8/20))+1</f>
        <v>#NUM!</v>
      </c>
    </row>
    <row r="9" spans="1:22" x14ac:dyDescent="0.25">
      <c r="A9" s="42" t="s">
        <v>38</v>
      </c>
      <c r="B9" s="26"/>
      <c r="C9" s="26"/>
      <c r="D9" s="26"/>
      <c r="E9" s="26"/>
      <c r="F9" s="26"/>
      <c r="G9" s="26"/>
      <c r="H9" s="26"/>
      <c r="I9" s="26"/>
      <c r="J9" s="26"/>
      <c r="K9" s="27" t="e">
        <f>ROUND(IMDIV(B9,J9),2)</f>
        <v>#NUM!</v>
      </c>
      <c r="L9" s="28" t="e">
        <f>E9/J9</f>
        <v>#DIV/0!</v>
      </c>
      <c r="M9" s="28" t="e">
        <f>D9/J9</f>
        <v>#DIV/0!</v>
      </c>
      <c r="N9" s="27" t="e">
        <f>ROUND(IMDIV(F9,J9),2)</f>
        <v>#NUM!</v>
      </c>
      <c r="O9" s="27" t="e">
        <f>ROUND(IMDIV(G9,J9),2)</f>
        <v>#NUM!</v>
      </c>
      <c r="P9" s="27" t="e">
        <f>ROUND(IMDIV(H9,J9),2)</f>
        <v>#NUM!</v>
      </c>
      <c r="Q9" s="27" t="e">
        <f>ROUND(IMDIV(B9,F9),2)</f>
        <v>#NUM!</v>
      </c>
      <c r="R9" s="27" t="e">
        <f>ROUND(IMDIV(C9,B9),4)*100</f>
        <v>#NUM!</v>
      </c>
      <c r="S9" s="27" t="e">
        <f>ROUND(IMDIV(I9,J9),2)</f>
        <v>#NUM!</v>
      </c>
      <c r="T9" s="26" t="s">
        <v>45</v>
      </c>
      <c r="U9" s="26" t="s">
        <v>24</v>
      </c>
      <c r="V9" s="45" t="e">
        <f>((K9/2.5)+(M9/4)+(L9/5)-(N9)+(S9/215)+(P9/20))+1</f>
        <v>#NUM!</v>
      </c>
    </row>
    <row r="10" spans="1:22" x14ac:dyDescent="0.25">
      <c r="A10" s="52" t="s">
        <v>58</v>
      </c>
      <c r="B10" s="5"/>
      <c r="C10" s="5"/>
      <c r="D10" s="5"/>
      <c r="E10" s="5"/>
      <c r="F10" s="5"/>
      <c r="G10" s="5"/>
      <c r="H10" s="5"/>
      <c r="I10" s="5"/>
      <c r="J10" s="5"/>
      <c r="K10" s="53"/>
      <c r="L10" s="54"/>
      <c r="M10" s="54"/>
      <c r="N10" s="53"/>
      <c r="O10" s="53"/>
      <c r="P10" s="53"/>
      <c r="Q10" s="53"/>
      <c r="R10" s="53"/>
      <c r="S10" s="53"/>
      <c r="T10" s="80"/>
      <c r="U10" s="61"/>
      <c r="V10" s="55"/>
    </row>
    <row r="11" spans="1:22" x14ac:dyDescent="0.25">
      <c r="A11" s="76" t="s">
        <v>63</v>
      </c>
      <c r="B11" s="62" t="s">
        <v>52</v>
      </c>
      <c r="C11" s="63" t="s">
        <v>53</v>
      </c>
      <c r="D11" s="64" t="s">
        <v>18</v>
      </c>
      <c r="E11" s="62" t="s">
        <v>42</v>
      </c>
      <c r="F11" s="62" t="s">
        <v>10</v>
      </c>
      <c r="G11" s="62" t="s">
        <v>59</v>
      </c>
      <c r="H11" s="62" t="s">
        <v>60</v>
      </c>
      <c r="I11" s="62" t="s">
        <v>13</v>
      </c>
      <c r="J11" s="64" t="s">
        <v>6</v>
      </c>
      <c r="K11" s="64" t="s">
        <v>15</v>
      </c>
      <c r="L11" s="64" t="s">
        <v>16</v>
      </c>
      <c r="M11" s="64" t="s">
        <v>17</v>
      </c>
      <c r="N11" s="53"/>
      <c r="O11" s="53"/>
      <c r="P11" s="53"/>
      <c r="Q11" s="53"/>
      <c r="R11" s="53"/>
      <c r="S11" s="53"/>
      <c r="T11" s="80"/>
      <c r="U11" s="61"/>
      <c r="V11" s="55"/>
    </row>
    <row r="12" spans="1:22" x14ac:dyDescent="0.25">
      <c r="A12" s="65" t="s">
        <v>39</v>
      </c>
      <c r="B12" s="62" t="s">
        <v>71</v>
      </c>
      <c r="C12" s="81">
        <v>0</v>
      </c>
      <c r="D12" s="67">
        <v>79.22</v>
      </c>
      <c r="E12" s="68">
        <v>1.016424299952539</v>
      </c>
      <c r="F12" s="67">
        <v>0.67</v>
      </c>
      <c r="G12" s="67">
        <v>3</v>
      </c>
      <c r="H12" s="67">
        <v>7</v>
      </c>
      <c r="I12" s="67">
        <v>0.67</v>
      </c>
      <c r="J12" s="67">
        <v>50</v>
      </c>
      <c r="K12" s="67">
        <v>0.04</v>
      </c>
      <c r="L12" s="67">
        <v>1</v>
      </c>
      <c r="M12" s="67">
        <v>51.519999999999996</v>
      </c>
      <c r="N12" s="53"/>
      <c r="O12" s="53"/>
      <c r="P12" s="53"/>
      <c r="Q12" s="53"/>
      <c r="R12" s="53"/>
      <c r="S12" s="53"/>
      <c r="T12" s="53"/>
      <c r="U12" s="61"/>
      <c r="V12" s="55"/>
    </row>
    <row r="13" spans="1:22" x14ac:dyDescent="0.25">
      <c r="A13" s="65" t="s">
        <v>40</v>
      </c>
      <c r="B13" s="62" t="s">
        <v>72</v>
      </c>
      <c r="C13" s="69">
        <v>-8</v>
      </c>
      <c r="D13" s="67">
        <v>58.86</v>
      </c>
      <c r="E13" s="68">
        <v>0.84225723777883243</v>
      </c>
      <c r="F13" s="67">
        <v>0.51</v>
      </c>
      <c r="G13" s="67">
        <v>1</v>
      </c>
      <c r="H13" s="67">
        <v>4</v>
      </c>
      <c r="I13" s="67">
        <v>0.67</v>
      </c>
      <c r="J13" s="67">
        <v>106</v>
      </c>
      <c r="K13" s="67">
        <v>0.2</v>
      </c>
      <c r="L13" s="67">
        <v>0.76</v>
      </c>
      <c r="M13" s="67">
        <v>52</v>
      </c>
      <c r="N13" s="53"/>
      <c r="O13" s="53"/>
      <c r="P13" s="53"/>
      <c r="Q13" s="53"/>
      <c r="R13" s="53"/>
      <c r="S13" s="53"/>
      <c r="T13" s="53"/>
      <c r="U13" s="61"/>
      <c r="V13" s="55"/>
    </row>
    <row r="14" spans="1:22" x14ac:dyDescent="0.25">
      <c r="A14" s="70" t="s">
        <v>56</v>
      </c>
      <c r="B14" s="63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53"/>
      <c r="O14" s="53"/>
      <c r="P14" s="53"/>
      <c r="Q14" s="53"/>
      <c r="R14" s="53"/>
      <c r="S14" s="53"/>
      <c r="T14" s="5"/>
      <c r="U14" s="5"/>
      <c r="V14" s="55"/>
    </row>
    <row r="15" spans="1:22" x14ac:dyDescent="0.25">
      <c r="A15" s="65" t="s">
        <v>31</v>
      </c>
      <c r="B15" s="62" t="s">
        <v>73</v>
      </c>
      <c r="C15" s="69">
        <v>-1</v>
      </c>
      <c r="D15" s="62">
        <v>88.82</v>
      </c>
      <c r="E15" s="62">
        <v>1.07</v>
      </c>
      <c r="F15" s="62">
        <v>0.63</v>
      </c>
      <c r="G15" s="72">
        <v>2</v>
      </c>
      <c r="H15" s="72">
        <v>8</v>
      </c>
      <c r="I15" s="62">
        <v>0.65</v>
      </c>
      <c r="J15" s="72">
        <v>112</v>
      </c>
      <c r="K15" s="67">
        <v>0.2</v>
      </c>
      <c r="L15" s="67">
        <v>0.97</v>
      </c>
      <c r="M15" s="62">
        <v>58.06</v>
      </c>
      <c r="N15" s="53"/>
      <c r="O15" s="53"/>
      <c r="P15" s="53"/>
      <c r="Q15" s="53"/>
      <c r="R15" s="53"/>
      <c r="S15" s="53"/>
      <c r="T15" s="5"/>
      <c r="U15" s="5"/>
      <c r="V15" s="55"/>
    </row>
    <row r="16" spans="1:22" x14ac:dyDescent="0.25">
      <c r="A16" s="65" t="s">
        <v>32</v>
      </c>
      <c r="B16" s="62" t="s">
        <v>74</v>
      </c>
      <c r="C16" s="66" t="s">
        <v>54</v>
      </c>
      <c r="D16" s="67">
        <v>57.57</v>
      </c>
      <c r="E16" s="68">
        <v>1.0849919316563834</v>
      </c>
      <c r="F16" s="67">
        <v>0.71</v>
      </c>
      <c r="G16" s="72">
        <v>5</v>
      </c>
      <c r="H16" s="72">
        <v>8</v>
      </c>
      <c r="I16" s="67">
        <v>0.53</v>
      </c>
      <c r="J16" s="72">
        <v>116</v>
      </c>
      <c r="K16" s="67">
        <v>0.04</v>
      </c>
      <c r="L16" s="67">
        <v>1.35</v>
      </c>
      <c r="M16" s="67">
        <v>40</v>
      </c>
      <c r="N16" s="57"/>
      <c r="O16" s="57"/>
      <c r="P16" s="57"/>
      <c r="Q16" s="57"/>
      <c r="R16" s="57"/>
      <c r="S16" s="57"/>
      <c r="T16" s="57"/>
      <c r="U16" s="57"/>
      <c r="V16" s="55"/>
    </row>
    <row r="17" spans="1:22" x14ac:dyDescent="0.25">
      <c r="A17" s="60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4"/>
      <c r="M17" s="54"/>
      <c r="N17" s="57"/>
      <c r="O17" s="57"/>
      <c r="P17" s="57"/>
      <c r="Q17" s="57"/>
      <c r="R17" s="57"/>
      <c r="S17" s="57"/>
      <c r="T17" s="57"/>
      <c r="U17" s="57"/>
      <c r="V17" s="55"/>
    </row>
    <row r="18" spans="1:22" x14ac:dyDescent="0.25">
      <c r="A18" s="52" t="s">
        <v>61</v>
      </c>
      <c r="B18" s="5"/>
      <c r="C18" s="5"/>
      <c r="D18" s="5"/>
      <c r="E18" s="5"/>
      <c r="F18" s="5"/>
      <c r="G18" s="5"/>
      <c r="H18" s="5"/>
      <c r="I18" s="5"/>
      <c r="J18" s="5"/>
      <c r="K18" s="53"/>
      <c r="L18" s="54"/>
      <c r="M18" s="54"/>
      <c r="N18" s="57"/>
      <c r="O18" s="57"/>
      <c r="P18" s="57"/>
      <c r="Q18" s="57"/>
      <c r="R18" s="57"/>
      <c r="S18" s="57"/>
      <c r="T18" s="57"/>
      <c r="U18" s="57"/>
      <c r="V18" s="55"/>
    </row>
    <row r="19" spans="1:22" x14ac:dyDescent="0.25">
      <c r="A19" s="78" t="s">
        <v>64</v>
      </c>
      <c r="B19" s="62" t="s">
        <v>52</v>
      </c>
      <c r="C19" s="63" t="s">
        <v>53</v>
      </c>
      <c r="D19" s="64" t="s">
        <v>18</v>
      </c>
      <c r="E19" s="62" t="s">
        <v>42</v>
      </c>
      <c r="F19" s="62" t="s">
        <v>10</v>
      </c>
      <c r="G19" s="62" t="s">
        <v>59</v>
      </c>
      <c r="H19" s="62" t="s">
        <v>60</v>
      </c>
      <c r="I19" s="62" t="s">
        <v>13</v>
      </c>
      <c r="J19" s="64" t="s">
        <v>6</v>
      </c>
      <c r="K19" s="64" t="s">
        <v>15</v>
      </c>
      <c r="L19" s="64" t="s">
        <v>16</v>
      </c>
      <c r="M19" s="64" t="s">
        <v>17</v>
      </c>
      <c r="N19" s="57"/>
      <c r="O19" s="57"/>
      <c r="P19" s="57"/>
      <c r="Q19" s="57"/>
      <c r="R19" s="57"/>
      <c r="S19" s="57"/>
      <c r="T19" s="57"/>
      <c r="U19" s="57"/>
      <c r="V19" s="55"/>
    </row>
    <row r="20" spans="1:22" x14ac:dyDescent="0.25">
      <c r="A20" s="65" t="s">
        <v>28</v>
      </c>
      <c r="B20" s="62"/>
      <c r="C20" s="66">
        <v>0</v>
      </c>
      <c r="D20" s="67"/>
      <c r="E20" s="68"/>
      <c r="F20" s="67"/>
      <c r="G20" s="67"/>
      <c r="H20" s="67"/>
      <c r="I20" s="67"/>
      <c r="J20" s="67"/>
      <c r="K20" s="67"/>
      <c r="L20" s="67"/>
      <c r="M20" s="67"/>
      <c r="N20" s="53"/>
      <c r="O20" s="53"/>
      <c r="P20" s="53"/>
      <c r="Q20" s="53"/>
      <c r="R20" s="53"/>
      <c r="S20" s="53"/>
      <c r="T20" s="61"/>
      <c r="U20" s="61"/>
      <c r="V20" s="55"/>
    </row>
    <row r="21" spans="1:22" x14ac:dyDescent="0.25">
      <c r="A21" s="65" t="s">
        <v>27</v>
      </c>
      <c r="B21" s="62"/>
      <c r="C21" s="69">
        <v>0</v>
      </c>
      <c r="D21" s="67"/>
      <c r="E21" s="68"/>
      <c r="F21" s="67"/>
      <c r="G21" s="67"/>
      <c r="H21" s="67"/>
      <c r="I21" s="67"/>
      <c r="J21" s="67"/>
      <c r="K21" s="67"/>
      <c r="L21" s="67"/>
      <c r="M21" s="67"/>
      <c r="N21" s="53"/>
      <c r="O21" s="53"/>
      <c r="P21" s="53"/>
      <c r="Q21" s="53"/>
      <c r="R21" s="53"/>
      <c r="S21" s="53"/>
      <c r="T21" s="61"/>
      <c r="U21" s="61"/>
      <c r="V21" s="55"/>
    </row>
    <row r="22" spans="1:22" x14ac:dyDescent="0.25">
      <c r="A22" s="75" t="s">
        <v>62</v>
      </c>
      <c r="B22" s="63"/>
      <c r="C22" s="62"/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53"/>
      <c r="O22" s="53"/>
      <c r="P22" s="53"/>
      <c r="Q22" s="53"/>
      <c r="R22" s="53"/>
      <c r="S22" s="53"/>
      <c r="T22" s="5"/>
      <c r="U22" s="5"/>
      <c r="V22" s="55"/>
    </row>
    <row r="23" spans="1:22" x14ac:dyDescent="0.25">
      <c r="A23" s="65" t="s">
        <v>37</v>
      </c>
      <c r="B23" s="62"/>
      <c r="C23" s="66">
        <v>0</v>
      </c>
      <c r="D23" s="67"/>
      <c r="E23" s="68"/>
      <c r="F23" s="67"/>
      <c r="G23" s="72"/>
      <c r="H23" s="72"/>
      <c r="I23" s="67"/>
      <c r="J23" s="72"/>
      <c r="K23" s="67"/>
      <c r="L23" s="67"/>
      <c r="M23" s="67"/>
    </row>
    <row r="24" spans="1:22" x14ac:dyDescent="0.25">
      <c r="A24" s="65" t="s">
        <v>38</v>
      </c>
      <c r="B24" s="62"/>
      <c r="C24" s="69">
        <v>0</v>
      </c>
      <c r="D24" s="67"/>
      <c r="E24" s="68"/>
      <c r="F24" s="67"/>
      <c r="G24" s="72"/>
      <c r="H24" s="72"/>
      <c r="I24" s="67"/>
      <c r="J24" s="72"/>
      <c r="K24" s="67"/>
      <c r="L24" s="67"/>
      <c r="M24" s="67"/>
    </row>
  </sheetData>
  <sortState xmlns:xlrd2="http://schemas.microsoft.com/office/spreadsheetml/2017/richdata2" ref="A2:V16">
    <sortCondition sortBy="cellColor" ref="A4:A16" dxfId="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C103-7A2C-4701-8F60-5B846BF871DD}">
  <dimension ref="A1:V20"/>
  <sheetViews>
    <sheetView showGridLines="0" zoomScaleNormal="100" workbookViewId="0">
      <selection activeCell="T5" sqref="T5"/>
    </sheetView>
  </sheetViews>
  <sheetFormatPr defaultRowHeight="15" x14ac:dyDescent="0.25"/>
  <cols>
    <col min="1" max="1" width="12.140625" bestFit="1" customWidth="1"/>
    <col min="5" max="5" width="11.5703125" bestFit="1" customWidth="1"/>
    <col min="20" max="20" width="10.28515625" bestFit="1" customWidth="1"/>
    <col min="22" max="22" width="12.570312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4" t="s">
        <v>10</v>
      </c>
      <c r="L1" s="5" t="s">
        <v>11</v>
      </c>
      <c r="M1" s="5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5" t="s">
        <v>42</v>
      </c>
    </row>
    <row r="2" spans="1:22" x14ac:dyDescent="0.25">
      <c r="A2" s="35" t="s">
        <v>28</v>
      </c>
      <c r="B2" s="6"/>
      <c r="C2" s="6"/>
      <c r="D2" s="6"/>
      <c r="E2" s="6"/>
      <c r="F2" s="6"/>
      <c r="G2" s="6"/>
      <c r="H2" s="6"/>
      <c r="I2" s="6"/>
      <c r="J2" s="6"/>
      <c r="K2" s="6" t="e">
        <f t="shared" ref="K2:K3" si="0">ROUND(IMDIV(B2,J2),2)</f>
        <v>#NUM!</v>
      </c>
      <c r="L2" s="7" t="e">
        <f t="shared" ref="L2:L3" si="1">E2/J2</f>
        <v>#DIV/0!</v>
      </c>
      <c r="M2" s="7" t="e">
        <f t="shared" ref="M2:M3" si="2">D2/J2</f>
        <v>#DIV/0!</v>
      </c>
      <c r="N2" s="6" t="e">
        <f t="shared" ref="N2:N3" si="3">ROUND(IMDIV(F2,J2),2)</f>
        <v>#NUM!</v>
      </c>
      <c r="O2" s="6" t="e">
        <f t="shared" ref="O2:O3" si="4">ROUND(IMDIV(G2,J2),2)</f>
        <v>#NUM!</v>
      </c>
      <c r="P2" s="6" t="e">
        <f t="shared" ref="P2:P3" si="5">ROUND(IMDIV(H2,J2),2)</f>
        <v>#NUM!</v>
      </c>
      <c r="Q2" s="6" t="e">
        <f t="shared" ref="Q2:Q3" si="6">ROUND(IMDIV(B2,F2),2)</f>
        <v>#NUM!</v>
      </c>
      <c r="R2" s="6" t="e">
        <f t="shared" ref="R2:R3" si="7">ROUND(IMDIV(C2,B2),4)*100</f>
        <v>#NUM!</v>
      </c>
      <c r="S2" s="6" t="e">
        <f t="shared" ref="S2:S7" si="8">ROUND(IMDIV(I2,J2),2)</f>
        <v>#NUM!</v>
      </c>
      <c r="T2" s="6" t="s">
        <v>45</v>
      </c>
      <c r="U2" s="8" t="s">
        <v>24</v>
      </c>
      <c r="V2" s="45" t="e">
        <f t="shared" ref="V2:V7" si="9">((K2/2.5)+(M2/4)+(L2/5)-(N2)+(S2/215)+(P2/20))+1</f>
        <v>#NUM!</v>
      </c>
    </row>
    <row r="3" spans="1:22" x14ac:dyDescent="0.25">
      <c r="A3" s="35" t="s">
        <v>27</v>
      </c>
      <c r="B3" s="6"/>
      <c r="C3" s="6"/>
      <c r="D3" s="6"/>
      <c r="E3" s="6"/>
      <c r="F3" s="6"/>
      <c r="G3" s="6"/>
      <c r="H3" s="6"/>
      <c r="I3" s="6"/>
      <c r="J3" s="6"/>
      <c r="K3" s="6" t="e">
        <f t="shared" si="0"/>
        <v>#NUM!</v>
      </c>
      <c r="L3" s="7" t="e">
        <f t="shared" si="1"/>
        <v>#DIV/0!</v>
      </c>
      <c r="M3" s="7" t="e">
        <f t="shared" si="2"/>
        <v>#DIV/0!</v>
      </c>
      <c r="N3" s="6" t="e">
        <f t="shared" si="3"/>
        <v>#NUM!</v>
      </c>
      <c r="O3" s="6" t="e">
        <f t="shared" si="4"/>
        <v>#NUM!</v>
      </c>
      <c r="P3" s="6" t="e">
        <f t="shared" si="5"/>
        <v>#NUM!</v>
      </c>
      <c r="Q3" s="6" t="e">
        <f t="shared" si="6"/>
        <v>#NUM!</v>
      </c>
      <c r="R3" s="6" t="e">
        <f t="shared" si="7"/>
        <v>#NUM!</v>
      </c>
      <c r="S3" s="6" t="e">
        <f t="shared" si="8"/>
        <v>#NUM!</v>
      </c>
      <c r="T3" s="6" t="s">
        <v>45</v>
      </c>
      <c r="U3" s="8" t="s">
        <v>24</v>
      </c>
      <c r="V3" s="45" t="e">
        <f t="shared" si="9"/>
        <v>#NUM!</v>
      </c>
    </row>
    <row r="4" spans="1:22" x14ac:dyDescent="0.25">
      <c r="A4" s="36" t="s">
        <v>31</v>
      </c>
      <c r="B4" s="9"/>
      <c r="C4" s="9"/>
      <c r="D4" s="9"/>
      <c r="E4" s="9"/>
      <c r="F4" s="9"/>
      <c r="G4" s="9"/>
      <c r="H4" s="9"/>
      <c r="I4" s="9"/>
      <c r="J4" s="9"/>
      <c r="K4" s="9" t="e">
        <f>ROUND(IMDIV(B4,J4),2)</f>
        <v>#NUM!</v>
      </c>
      <c r="L4" s="11" t="e">
        <f>E4/J4</f>
        <v>#DIV/0!</v>
      </c>
      <c r="M4" s="11" t="e">
        <f>D4/J4</f>
        <v>#DIV/0!</v>
      </c>
      <c r="N4" s="9" t="e">
        <f>ROUND(IMDIV(F4,J4),2)</f>
        <v>#NUM!</v>
      </c>
      <c r="O4" s="9" t="e">
        <f>ROUND(IMDIV(G4,J4),2)</f>
        <v>#NUM!</v>
      </c>
      <c r="P4" s="9" t="e">
        <f>ROUND(IMDIV(H4,J4),2)</f>
        <v>#NUM!</v>
      </c>
      <c r="Q4" s="9" t="e">
        <f>ROUND(IMDIV(B4,F4),2)</f>
        <v>#NUM!</v>
      </c>
      <c r="R4" s="9" t="e">
        <f>ROUND(IMDIV(C4,B4),4)*100</f>
        <v>#NUM!</v>
      </c>
      <c r="S4" s="9" t="e">
        <f t="shared" si="8"/>
        <v>#NUM!</v>
      </c>
      <c r="T4" s="9" t="s">
        <v>76</v>
      </c>
      <c r="U4" s="10" t="s">
        <v>24</v>
      </c>
      <c r="V4" s="45" t="e">
        <f t="shared" si="9"/>
        <v>#NUM!</v>
      </c>
    </row>
    <row r="5" spans="1:22" x14ac:dyDescent="0.25">
      <c r="A5" s="36" t="s">
        <v>32</v>
      </c>
      <c r="B5" s="9"/>
      <c r="C5" s="9"/>
      <c r="D5" s="9"/>
      <c r="E5" s="9"/>
      <c r="F5" s="9"/>
      <c r="G5" s="9"/>
      <c r="H5" s="9"/>
      <c r="I5" s="9"/>
      <c r="J5" s="9"/>
      <c r="K5" s="9" t="e">
        <f>ROUND(IMDIV(B5,J5),2)</f>
        <v>#NUM!</v>
      </c>
      <c r="L5" s="11" t="e">
        <f>E5/J5</f>
        <v>#DIV/0!</v>
      </c>
      <c r="M5" s="11" t="e">
        <f>D5/J5</f>
        <v>#DIV/0!</v>
      </c>
      <c r="N5" s="9" t="e">
        <f>ROUND(IMDIV(F5,J5),2)</f>
        <v>#NUM!</v>
      </c>
      <c r="O5" s="9" t="e">
        <f>ROUND(IMDIV(G5,J5),2)</f>
        <v>#NUM!</v>
      </c>
      <c r="P5" s="9" t="e">
        <f>ROUND(IMDIV(H5,J5),2)</f>
        <v>#NUM!</v>
      </c>
      <c r="Q5" s="9" t="e">
        <f>ROUND(IMDIV(B5,F5),2)</f>
        <v>#NUM!</v>
      </c>
      <c r="R5" s="9" t="e">
        <f>ROUND(IMDIV(C5,B5),4)*100</f>
        <v>#NUM!</v>
      </c>
      <c r="S5" s="9" t="e">
        <f t="shared" si="8"/>
        <v>#NUM!</v>
      </c>
      <c r="T5" s="9" t="s">
        <v>76</v>
      </c>
      <c r="U5" s="10" t="s">
        <v>24</v>
      </c>
      <c r="V5" s="45" t="e">
        <f t="shared" si="9"/>
        <v>#NUM!</v>
      </c>
    </row>
    <row r="6" spans="1:22" x14ac:dyDescent="0.25">
      <c r="A6" s="42" t="s">
        <v>37</v>
      </c>
      <c r="B6" s="26"/>
      <c r="C6" s="26"/>
      <c r="D6" s="26"/>
      <c r="E6" s="26"/>
      <c r="F6" s="26"/>
      <c r="G6" s="26"/>
      <c r="H6" s="26"/>
      <c r="I6" s="26"/>
      <c r="J6" s="26"/>
      <c r="K6" s="27" t="e">
        <f>ROUND(IMDIV(B6,J6),2)</f>
        <v>#NUM!</v>
      </c>
      <c r="L6" s="28" t="e">
        <f>E6/J6</f>
        <v>#DIV/0!</v>
      </c>
      <c r="M6" s="28" t="e">
        <f>D6/J6</f>
        <v>#DIV/0!</v>
      </c>
      <c r="N6" s="27" t="e">
        <f>ROUND(IMDIV(F6,J6),2)</f>
        <v>#NUM!</v>
      </c>
      <c r="O6" s="27" t="e">
        <f>ROUND(IMDIV(G6,J6),2)</f>
        <v>#NUM!</v>
      </c>
      <c r="P6" s="27" t="e">
        <f>ROUND(IMDIV(H6,J6),2)</f>
        <v>#NUM!</v>
      </c>
      <c r="Q6" s="27" t="e">
        <f>ROUND(IMDIV(B6,F6),2)</f>
        <v>#NUM!</v>
      </c>
      <c r="R6" s="27" t="e">
        <f>ROUND(IMDIV(C6,B6),4)*100</f>
        <v>#NUM!</v>
      </c>
      <c r="S6" s="27" t="e">
        <f t="shared" si="8"/>
        <v>#NUM!</v>
      </c>
      <c r="T6" s="26" t="s">
        <v>46</v>
      </c>
      <c r="U6" s="26" t="s">
        <v>24</v>
      </c>
      <c r="V6" s="45" t="e">
        <f t="shared" si="9"/>
        <v>#NUM!</v>
      </c>
    </row>
    <row r="7" spans="1:22" x14ac:dyDescent="0.25">
      <c r="A7" s="42" t="s">
        <v>38</v>
      </c>
      <c r="B7" s="26"/>
      <c r="C7" s="26"/>
      <c r="D7" s="26"/>
      <c r="E7" s="26"/>
      <c r="F7" s="26"/>
      <c r="G7" s="26"/>
      <c r="H7" s="26"/>
      <c r="I7" s="26"/>
      <c r="J7" s="26"/>
      <c r="K7" s="27" t="e">
        <f>ROUND(IMDIV(B7,J7),2)</f>
        <v>#NUM!</v>
      </c>
      <c r="L7" s="28" t="e">
        <f>E7/J7</f>
        <v>#DIV/0!</v>
      </c>
      <c r="M7" s="28" t="e">
        <f>D7/J7</f>
        <v>#DIV/0!</v>
      </c>
      <c r="N7" s="27" t="e">
        <f>ROUND(IMDIV(F7,J7),2)</f>
        <v>#NUM!</v>
      </c>
      <c r="O7" s="27" t="e">
        <f>ROUND(IMDIV(G7,J7),2)</f>
        <v>#NUM!</v>
      </c>
      <c r="P7" s="27" t="e">
        <f>ROUND(IMDIV(H7,J7),2)</f>
        <v>#NUM!</v>
      </c>
      <c r="Q7" s="27" t="e">
        <f>ROUND(IMDIV(B7,F7),2)</f>
        <v>#NUM!</v>
      </c>
      <c r="R7" s="27" t="e">
        <f>ROUND(IMDIV(C7,B7),4)*100</f>
        <v>#NUM!</v>
      </c>
      <c r="S7" s="27" t="e">
        <f t="shared" si="8"/>
        <v>#NUM!</v>
      </c>
      <c r="T7" s="26" t="s">
        <v>46</v>
      </c>
      <c r="U7" s="26" t="s">
        <v>24</v>
      </c>
      <c r="V7" s="45" t="e">
        <f t="shared" si="9"/>
        <v>#NUM!</v>
      </c>
    </row>
    <row r="8" spans="1:22" x14ac:dyDescent="0.25">
      <c r="A8" s="60"/>
      <c r="B8" s="53"/>
      <c r="C8" s="53"/>
      <c r="D8" s="53"/>
      <c r="E8" s="53"/>
      <c r="F8" s="53"/>
      <c r="G8" s="53"/>
      <c r="H8" s="53"/>
      <c r="I8" s="53"/>
      <c r="J8" s="53"/>
      <c r="K8" s="53"/>
      <c r="L8" s="54"/>
      <c r="M8" s="54"/>
      <c r="N8" s="53"/>
      <c r="O8" s="53"/>
      <c r="P8" s="53"/>
      <c r="Q8" s="53"/>
      <c r="R8" s="53"/>
      <c r="S8" s="53"/>
      <c r="T8" s="80"/>
      <c r="U8" s="61"/>
      <c r="V8" s="55"/>
    </row>
    <row r="9" spans="1:22" x14ac:dyDescent="0.25">
      <c r="A9" s="60"/>
      <c r="B9" s="53"/>
      <c r="C9" s="53"/>
      <c r="D9" s="53"/>
      <c r="E9" s="53"/>
      <c r="F9" s="53"/>
      <c r="G9" s="53"/>
      <c r="H9" s="53"/>
      <c r="I9" s="53"/>
      <c r="J9" s="53"/>
      <c r="K9" s="53"/>
      <c r="L9" s="54"/>
      <c r="M9" s="54"/>
      <c r="N9" s="53"/>
      <c r="O9" s="53"/>
      <c r="P9" s="53"/>
      <c r="Q9" s="53"/>
      <c r="R9" s="53"/>
      <c r="S9" s="53"/>
      <c r="T9" s="80"/>
      <c r="U9" s="61"/>
      <c r="V9" s="55"/>
    </row>
    <row r="10" spans="1:22" x14ac:dyDescent="0.25">
      <c r="A10" s="52" t="s">
        <v>58</v>
      </c>
      <c r="B10" s="5"/>
      <c r="C10" s="5"/>
      <c r="D10" s="5"/>
      <c r="E10" s="5"/>
      <c r="F10" s="5"/>
      <c r="G10" s="5"/>
      <c r="H10" s="5"/>
      <c r="I10" s="5"/>
      <c r="J10" s="5"/>
      <c r="K10" s="53"/>
      <c r="L10" s="54"/>
      <c r="M10" s="54"/>
      <c r="N10" s="53"/>
      <c r="O10" s="53"/>
      <c r="P10" s="53"/>
      <c r="Q10" s="53"/>
      <c r="R10" s="53"/>
      <c r="S10" s="53"/>
      <c r="T10" s="53"/>
      <c r="U10" s="61"/>
      <c r="V10" s="55"/>
    </row>
    <row r="11" spans="1:22" x14ac:dyDescent="0.25">
      <c r="A11" s="77" t="s">
        <v>56</v>
      </c>
      <c r="B11" s="62" t="s">
        <v>52</v>
      </c>
      <c r="C11" s="63" t="s">
        <v>53</v>
      </c>
      <c r="D11" s="64" t="s">
        <v>18</v>
      </c>
      <c r="E11" s="62" t="s">
        <v>42</v>
      </c>
      <c r="F11" s="62" t="s">
        <v>10</v>
      </c>
      <c r="G11" s="62" t="s">
        <v>59</v>
      </c>
      <c r="H11" s="62" t="s">
        <v>60</v>
      </c>
      <c r="I11" s="62" t="s">
        <v>13</v>
      </c>
      <c r="J11" s="64" t="s">
        <v>6</v>
      </c>
      <c r="K11" s="64" t="s">
        <v>15</v>
      </c>
      <c r="L11" s="64" t="s">
        <v>16</v>
      </c>
      <c r="M11" s="64" t="s">
        <v>17</v>
      </c>
      <c r="N11" s="53"/>
      <c r="O11" s="53"/>
      <c r="P11" s="53"/>
      <c r="Q11" s="53"/>
      <c r="R11" s="53"/>
      <c r="S11" s="53"/>
      <c r="T11" s="53"/>
      <c r="U11" s="61"/>
      <c r="V11" s="55"/>
    </row>
    <row r="12" spans="1:22" x14ac:dyDescent="0.25">
      <c r="A12" s="65"/>
      <c r="B12" s="62"/>
      <c r="C12" s="66">
        <v>0</v>
      </c>
      <c r="D12" s="67"/>
      <c r="E12" s="68"/>
      <c r="F12" s="67"/>
      <c r="G12" s="67"/>
      <c r="H12" s="67"/>
      <c r="I12" s="67"/>
      <c r="J12" s="67"/>
      <c r="K12" s="67"/>
      <c r="L12" s="67"/>
      <c r="M12" s="67"/>
      <c r="N12" s="53"/>
      <c r="O12" s="53"/>
      <c r="P12" s="53"/>
      <c r="Q12" s="53"/>
      <c r="R12" s="53"/>
      <c r="S12" s="53"/>
      <c r="T12" s="5"/>
      <c r="U12" s="5"/>
      <c r="V12" s="55"/>
    </row>
    <row r="13" spans="1:22" x14ac:dyDescent="0.25">
      <c r="A13" s="65"/>
      <c r="B13" s="62"/>
      <c r="C13" s="69">
        <v>0</v>
      </c>
      <c r="D13" s="67"/>
      <c r="E13" s="68"/>
      <c r="F13" s="67"/>
      <c r="G13" s="67"/>
      <c r="H13" s="67"/>
      <c r="I13" s="67"/>
      <c r="J13" s="67"/>
      <c r="K13" s="67"/>
      <c r="L13" s="67"/>
      <c r="M13" s="67"/>
      <c r="N13" s="53"/>
      <c r="O13" s="53"/>
      <c r="P13" s="53"/>
      <c r="Q13" s="53"/>
      <c r="R13" s="53"/>
      <c r="S13" s="53"/>
      <c r="T13" s="5"/>
      <c r="U13" s="5"/>
      <c r="V13" s="55"/>
    </row>
    <row r="14" spans="1:22" x14ac:dyDescent="0.25">
      <c r="A14" s="77" t="s">
        <v>65</v>
      </c>
      <c r="B14" s="73"/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57"/>
      <c r="O14" s="57"/>
      <c r="P14" s="57"/>
      <c r="Q14" s="57"/>
      <c r="R14" s="57"/>
      <c r="S14" s="57"/>
      <c r="T14" s="57"/>
      <c r="U14" s="57"/>
      <c r="V14" s="55"/>
    </row>
    <row r="15" spans="1:22" x14ac:dyDescent="0.25">
      <c r="A15" s="65"/>
      <c r="B15" s="62"/>
      <c r="C15" s="66">
        <v>0</v>
      </c>
      <c r="D15" s="67"/>
      <c r="E15" s="68"/>
      <c r="F15" s="67"/>
      <c r="G15" s="72"/>
      <c r="H15" s="72"/>
      <c r="I15" s="67"/>
      <c r="J15" s="72"/>
      <c r="K15" s="67"/>
      <c r="L15" s="67"/>
      <c r="M15" s="67"/>
      <c r="N15" s="57"/>
      <c r="O15" s="57"/>
      <c r="P15" s="57"/>
      <c r="Q15" s="57"/>
      <c r="R15" s="57"/>
      <c r="S15" s="57"/>
      <c r="T15" s="57"/>
      <c r="U15" s="57"/>
      <c r="V15" s="55"/>
    </row>
    <row r="16" spans="1:22" x14ac:dyDescent="0.25">
      <c r="A16" s="65"/>
      <c r="B16" s="62"/>
      <c r="C16" s="69">
        <v>0</v>
      </c>
      <c r="D16" s="67"/>
      <c r="E16" s="68"/>
      <c r="F16" s="67"/>
      <c r="G16" s="72"/>
      <c r="H16" s="72"/>
      <c r="I16" s="67"/>
      <c r="J16" s="72"/>
      <c r="K16" s="67"/>
      <c r="L16" s="67"/>
      <c r="M16" s="67"/>
      <c r="N16" s="57"/>
      <c r="O16" s="57"/>
      <c r="P16" s="57"/>
      <c r="Q16" s="57"/>
      <c r="R16" s="57"/>
      <c r="S16" s="57"/>
      <c r="T16" s="57"/>
      <c r="U16" s="57"/>
      <c r="V16" s="55"/>
    </row>
    <row r="17" spans="1:22" x14ac:dyDescent="0.25">
      <c r="A17" s="56"/>
      <c r="B17" s="59"/>
      <c r="C17" s="59"/>
      <c r="D17" s="59"/>
      <c r="E17" s="59"/>
      <c r="F17" s="59"/>
      <c r="G17" s="57"/>
      <c r="H17" s="59"/>
      <c r="I17" s="59"/>
      <c r="J17" s="59"/>
      <c r="K17" s="57"/>
      <c r="L17" s="58"/>
      <c r="M17" s="58"/>
      <c r="N17" s="57"/>
      <c r="O17" s="57"/>
      <c r="P17" s="57"/>
      <c r="Q17" s="57"/>
      <c r="R17" s="57"/>
      <c r="S17" s="57"/>
      <c r="T17" s="57"/>
      <c r="U17" s="57"/>
      <c r="V17" s="55"/>
    </row>
    <row r="18" spans="1:22" x14ac:dyDescent="0.25">
      <c r="A18" s="60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4"/>
      <c r="M18" s="54"/>
      <c r="N18" s="53"/>
      <c r="O18" s="53"/>
      <c r="P18" s="53"/>
      <c r="Q18" s="53"/>
      <c r="R18" s="53"/>
      <c r="S18" s="53"/>
      <c r="T18" s="61"/>
      <c r="U18" s="61"/>
      <c r="V18" s="55"/>
    </row>
    <row r="19" spans="1:22" x14ac:dyDescent="0.25">
      <c r="A19" s="60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4"/>
      <c r="M19" s="54"/>
      <c r="N19" s="53"/>
      <c r="O19" s="53"/>
      <c r="P19" s="53"/>
      <c r="Q19" s="53"/>
      <c r="R19" s="53"/>
      <c r="S19" s="53"/>
      <c r="T19" s="61"/>
      <c r="U19" s="61"/>
      <c r="V19" s="55"/>
    </row>
    <row r="20" spans="1:22" x14ac:dyDescent="0.25">
      <c r="B20" s="5"/>
      <c r="C20" s="5"/>
      <c r="D20" s="5"/>
      <c r="E20" s="5"/>
      <c r="F20" s="5"/>
      <c r="G20" s="5"/>
      <c r="H20" s="5"/>
      <c r="I20" s="5"/>
      <c r="J20" s="5"/>
      <c r="K20" s="53"/>
      <c r="L20" s="54"/>
      <c r="M20" s="54"/>
      <c r="N20" s="53"/>
      <c r="O20" s="53"/>
      <c r="P20" s="53"/>
      <c r="Q20" s="53"/>
      <c r="R20" s="53"/>
      <c r="S20" s="53"/>
      <c r="T20" s="5"/>
      <c r="U20" s="5"/>
      <c r="V20" s="55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Tourney</vt:lpstr>
      <vt:lpstr>Regular Season</vt:lpstr>
      <vt:lpstr>Playoffs</vt:lpstr>
      <vt:lpstr>QuarterFinals</vt:lpstr>
      <vt:lpstr>SemiFinals</vt:lpstr>
      <vt:lpstr>Finals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2026-04-22T16:48:08Z</dcterms:modified>
</cp:coreProperties>
</file>