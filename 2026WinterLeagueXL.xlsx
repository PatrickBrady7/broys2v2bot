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93737328-B251-414F-9B83-BE754DBA395F}" xr6:coauthVersionLast="47" xr6:coauthVersionMax="47" xr10:uidLastSave="{00000000-0000-0000-0000-000000000000}"/>
  <bookViews>
    <workbookView xWindow="5025" yWindow="5025" windowWidth="28800" windowHeight="15345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" i="1" l="1"/>
  <c r="R21" i="1"/>
  <c r="Q21" i="1"/>
  <c r="P21" i="1"/>
  <c r="O21" i="1"/>
  <c r="N21" i="1"/>
  <c r="M21" i="1"/>
  <c r="L21" i="1"/>
  <c r="K21" i="1"/>
  <c r="S20" i="1"/>
  <c r="R20" i="1"/>
  <c r="Q20" i="1"/>
  <c r="P20" i="1"/>
  <c r="O20" i="1"/>
  <c r="N20" i="1"/>
  <c r="M20" i="1"/>
  <c r="L20" i="1"/>
  <c r="K20" i="1"/>
  <c r="S19" i="1"/>
  <c r="R19" i="1"/>
  <c r="Q19" i="1"/>
  <c r="P19" i="1"/>
  <c r="O19" i="1"/>
  <c r="N19" i="1"/>
  <c r="M19" i="1"/>
  <c r="L19" i="1"/>
  <c r="K19" i="1"/>
  <c r="S18" i="1"/>
  <c r="R18" i="1"/>
  <c r="Q18" i="1"/>
  <c r="P18" i="1"/>
  <c r="O18" i="1"/>
  <c r="N18" i="1"/>
  <c r="M18" i="1"/>
  <c r="L18" i="1"/>
  <c r="K18" i="1"/>
  <c r="S17" i="1"/>
  <c r="R17" i="1"/>
  <c r="Q17" i="1"/>
  <c r="P17" i="1"/>
  <c r="O17" i="1"/>
  <c r="N17" i="1"/>
  <c r="M17" i="1"/>
  <c r="L17" i="1"/>
  <c r="K17" i="1"/>
  <c r="S16" i="1"/>
  <c r="R16" i="1"/>
  <c r="Q16" i="1"/>
  <c r="P16" i="1"/>
  <c r="O16" i="1"/>
  <c r="N16" i="1"/>
  <c r="M16" i="1"/>
  <c r="L16" i="1"/>
  <c r="K16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4" i="1"/>
  <c r="L4" i="1"/>
  <c r="M4" i="1"/>
  <c r="N4" i="1"/>
  <c r="O4" i="1"/>
  <c r="P4" i="1"/>
  <c r="Q4" i="1"/>
  <c r="K5" i="1"/>
  <c r="L5" i="1"/>
  <c r="M5" i="1"/>
  <c r="N5" i="1"/>
  <c r="O5" i="1"/>
  <c r="P5" i="1"/>
  <c r="Q5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9" i="1"/>
  <c r="L9" i="1"/>
  <c r="M9" i="1"/>
  <c r="N9" i="1"/>
  <c r="O9" i="1"/>
  <c r="P9" i="1"/>
  <c r="Q9" i="1"/>
  <c r="K8" i="1"/>
  <c r="L8" i="1"/>
  <c r="M8" i="1"/>
  <c r="N8" i="1"/>
  <c r="O8" i="1"/>
  <c r="P8" i="1"/>
  <c r="Q8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4" i="1"/>
  <c r="L14" i="1"/>
  <c r="M14" i="1"/>
  <c r="N14" i="1"/>
  <c r="O14" i="1"/>
  <c r="P14" i="1"/>
  <c r="Q14" i="1"/>
  <c r="K15" i="1"/>
  <c r="L15" i="1"/>
  <c r="M15" i="1"/>
  <c r="N15" i="1"/>
  <c r="O15" i="1"/>
  <c r="P15" i="1"/>
  <c r="Q15" i="1"/>
  <c r="S15" i="1"/>
  <c r="R15" i="1"/>
  <c r="S14" i="1"/>
  <c r="R14" i="1"/>
  <c r="S13" i="1"/>
  <c r="R13" i="1"/>
  <c r="S12" i="1"/>
  <c r="R12" i="1"/>
  <c r="S11" i="1"/>
  <c r="R11" i="1"/>
  <c r="S10" i="1"/>
  <c r="R10" i="1"/>
  <c r="S8" i="1"/>
  <c r="R8" i="1"/>
  <c r="S9" i="1"/>
  <c r="R9" i="1"/>
  <c r="S7" i="1"/>
  <c r="R7" i="1"/>
  <c r="S6" i="1"/>
  <c r="R6" i="1"/>
  <c r="S5" i="1"/>
  <c r="R5" i="1"/>
  <c r="S4" i="1"/>
  <c r="R4" i="1"/>
  <c r="S3" i="1"/>
  <c r="R3" i="1"/>
  <c r="S2" i="1"/>
  <c r="R2" i="1"/>
  <c r="V18" i="1" l="1"/>
  <c r="V5" i="1"/>
  <c r="V21" i="1"/>
  <c r="V17" i="1"/>
  <c r="V7" i="1"/>
  <c r="V12" i="1"/>
  <c r="V19" i="1"/>
  <c r="V20" i="1"/>
  <c r="V16" i="1"/>
  <c r="V11" i="1"/>
  <c r="V4" i="1"/>
  <c r="V2" i="1"/>
  <c r="V9" i="1"/>
  <c r="V13" i="1"/>
  <c r="V8" i="1"/>
  <c r="V14" i="1"/>
  <c r="V10" i="1"/>
  <c r="V15" i="1"/>
  <c r="V6" i="1"/>
  <c r="V3" i="1"/>
</calcChain>
</file>

<file path=xl/sharedStrings.xml><?xml version="1.0" encoding="utf-8"?>
<sst xmlns="http://schemas.openxmlformats.org/spreadsheetml/2006/main" count="82" uniqueCount="44">
  <si>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</si>
  <si>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</si>
  <si>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</si>
  <si>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</si>
  <si>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</si>
  <si>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</si>
  <si>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</si>
  <si>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</si>
  <si>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</si>
  <si>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</si>
  <si>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</si>
  <si>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</si>
  <si>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</si>
  <si>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</si>
  <si>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</si>
  <si>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</si>
  <si>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</si>
  <si>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</si>
  <si>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</si>
  <si>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</si>
  <si>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</si>
  <si>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PadRating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</si>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</sst>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2" fontId="5" fillId="3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16" fontId="5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1"/>
  <sheetViews>
    <sheetView tabSelected="1" zoomScaleNormal="100" workbookViewId="0">
      <selection activeCell="X4" sqref="X4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0" bestFit="1" customWidth="1"/>
  </cols>
  <sheetData>
    <row r="1" spans="1:22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2" t="s">
        <v>9</v>
      </c>
      <c r="K1" s="5" t="s">
        <v>10</v>
      </c>
      <c r="L1" s="6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6" t="s">
        <v>21</v>
      </c>
    </row>
    <row r="2" spans="1:22" x14ac:dyDescent="0.25">
      <c r="A2" s="38" t="s">
        <v>29</v>
      </c>
      <c r="B2" s="7">
        <v>31</v>
      </c>
      <c r="C2" s="7">
        <v>21</v>
      </c>
      <c r="D2" s="7">
        <v>7</v>
      </c>
      <c r="E2" s="7">
        <v>2</v>
      </c>
      <c r="F2" s="7">
        <v>14</v>
      </c>
      <c r="G2" s="7">
        <v>320</v>
      </c>
      <c r="H2" s="7">
        <v>12</v>
      </c>
      <c r="I2" s="7">
        <v>3150</v>
      </c>
      <c r="J2" s="7">
        <v>32</v>
      </c>
      <c r="K2" s="7">
        <f>ROUND(IMDIV(B2,J2),2)</f>
        <v>0.97</v>
      </c>
      <c r="L2" s="8">
        <f>E2/J2</f>
        <v>6.25E-2</v>
      </c>
      <c r="M2" s="8">
        <f>D2/J2</f>
        <v>0.21875</v>
      </c>
      <c r="N2" s="7">
        <f>ROUND(IMDIV(F2,J2),2)</f>
        <v>0.44</v>
      </c>
      <c r="O2" s="7">
        <f>ROUND(IMDIV(G2,J2),2)</f>
        <v>10</v>
      </c>
      <c r="P2" s="7">
        <f>ROUND(IMDIV(H2,J2),2)</f>
        <v>0.38</v>
      </c>
      <c r="Q2" s="7">
        <f>ROUND(IMDIV(B2,F2),2)</f>
        <v>2.21</v>
      </c>
      <c r="R2" s="7">
        <f>ROUND(IMDIV(C2,B2),4)*100</f>
        <v>67.739999999999995</v>
      </c>
      <c r="S2" s="7">
        <f>ROUND(IMDIV(I2,J2),2)</f>
        <v>98.44</v>
      </c>
      <c r="T2" s="9" t="s">
        <v>43</v>
      </c>
      <c r="U2" s="9" t="s">
        <v>25</v>
      </c>
      <c r="V2" s="1">
        <f>((K2/2)+(M2/4)+(L2/5)-(N2)+(S2/215)+(P2/20))+1</f>
        <v>1.589047965116279</v>
      </c>
    </row>
    <row r="3" spans="1:22" x14ac:dyDescent="0.25">
      <c r="A3" s="38" t="s">
        <v>28</v>
      </c>
      <c r="B3" s="7">
        <v>16</v>
      </c>
      <c r="C3" s="7">
        <v>9</v>
      </c>
      <c r="D3" s="7">
        <v>2</v>
      </c>
      <c r="E3" s="7">
        <v>0</v>
      </c>
      <c r="F3" s="7">
        <v>17</v>
      </c>
      <c r="G3" s="7">
        <v>1</v>
      </c>
      <c r="H3" s="7">
        <v>2</v>
      </c>
      <c r="I3" s="7">
        <v>1739</v>
      </c>
      <c r="J3" s="7">
        <v>32</v>
      </c>
      <c r="K3" s="7">
        <f>ROUND(IMDIV(B3,J3),2)</f>
        <v>0.5</v>
      </c>
      <c r="L3" s="8">
        <f>E3/J3</f>
        <v>0</v>
      </c>
      <c r="M3" s="8">
        <f>D3/J3</f>
        <v>6.25E-2</v>
      </c>
      <c r="N3" s="7">
        <f>ROUND(IMDIV(F3,J3),2)</f>
        <v>0.53</v>
      </c>
      <c r="O3" s="7">
        <f>ROUND(IMDIV(G3,J3),2)</f>
        <v>0.03</v>
      </c>
      <c r="P3" s="7">
        <f>ROUND(IMDIV(H3,J3),2)</f>
        <v>0.06</v>
      </c>
      <c r="Q3" s="7">
        <f>ROUND(IMDIV(B3,F3),2)</f>
        <v>0.94</v>
      </c>
      <c r="R3" s="7">
        <f>ROUND(IMDIV(C3,B3),4)*100</f>
        <v>56.25</v>
      </c>
      <c r="S3" s="7">
        <f>ROUND(IMDIV(I3,J3),2)</f>
        <v>54.34</v>
      </c>
      <c r="T3" s="9" t="s">
        <v>43</v>
      </c>
      <c r="U3" s="9" t="s">
        <v>25</v>
      </c>
      <c r="V3" s="1">
        <f>((K3/2)+(M3/4)+(L3/5)-(N3)+(S3/215)+(P3/20))+1</f>
        <v>0.99136918604651159</v>
      </c>
    </row>
    <row r="4" spans="1:22" x14ac:dyDescent="0.25">
      <c r="A4" s="39" t="s">
        <v>32</v>
      </c>
      <c r="B4" s="10">
        <v>14</v>
      </c>
      <c r="C4" s="10">
        <v>7</v>
      </c>
      <c r="D4" s="10">
        <v>2</v>
      </c>
      <c r="E4" s="11">
        <v>0</v>
      </c>
      <c r="F4" s="11">
        <v>6</v>
      </c>
      <c r="G4" s="11">
        <v>63</v>
      </c>
      <c r="H4" s="11">
        <v>11</v>
      </c>
      <c r="I4" s="11">
        <v>1440</v>
      </c>
      <c r="J4" s="11">
        <v>15</v>
      </c>
      <c r="K4" s="10">
        <f>ROUND(IMDIV(B4,J4),2)</f>
        <v>0.93</v>
      </c>
      <c r="L4" s="12">
        <f>E4/J4</f>
        <v>0</v>
      </c>
      <c r="M4" s="12">
        <f>D4/J4</f>
        <v>0.13333333333333333</v>
      </c>
      <c r="N4" s="10">
        <f>ROUND(IMDIV(F4,J4),2)</f>
        <v>0.4</v>
      </c>
      <c r="O4" s="10">
        <f>ROUND(IMDIV(G4,J4),2)</f>
        <v>4.2</v>
      </c>
      <c r="P4" s="10">
        <f>ROUND(IMDIV(H4,J4),2)</f>
        <v>0.73</v>
      </c>
      <c r="Q4" s="10">
        <f>ROUND(IMDIV(B4,F4),2)</f>
        <v>2.33</v>
      </c>
      <c r="R4" s="10">
        <f>ROUND(IMDIV(C4,B4),4)*100</f>
        <v>50</v>
      </c>
      <c r="S4" s="10">
        <f>ROUND(IMDIV(I4,J4),2)</f>
        <v>96</v>
      </c>
      <c r="T4" s="11" t="s">
        <v>43</v>
      </c>
      <c r="U4" s="11" t="s">
        <v>25</v>
      </c>
      <c r="V4" s="1">
        <f>((K4/2)+(M4/4)+(L4/5)-(N4)+(S4/215)+(P4/20))+1</f>
        <v>1.5813449612403101</v>
      </c>
    </row>
    <row r="5" spans="1:22" x14ac:dyDescent="0.25">
      <c r="A5" s="39" t="s">
        <v>33</v>
      </c>
      <c r="B5" s="10">
        <v>8</v>
      </c>
      <c r="C5" s="10">
        <v>7</v>
      </c>
      <c r="D5" s="10">
        <v>0</v>
      </c>
      <c r="E5" s="11">
        <v>0</v>
      </c>
      <c r="F5" s="11">
        <v>9</v>
      </c>
      <c r="G5" s="11">
        <v>29</v>
      </c>
      <c r="H5" s="11">
        <v>1</v>
      </c>
      <c r="I5" s="11">
        <v>1020</v>
      </c>
      <c r="J5" s="11">
        <v>15</v>
      </c>
      <c r="K5" s="10">
        <f>ROUND(IMDIV(B5,J5),2)</f>
        <v>0.53</v>
      </c>
      <c r="L5" s="12">
        <f>E5/J5</f>
        <v>0</v>
      </c>
      <c r="M5" s="12">
        <f>D5/J5</f>
        <v>0</v>
      </c>
      <c r="N5" s="10">
        <f>ROUND(IMDIV(F5,J5),2)</f>
        <v>0.6</v>
      </c>
      <c r="O5" s="10">
        <f>ROUND(IMDIV(G5,J5),2)</f>
        <v>1.93</v>
      </c>
      <c r="P5" s="10">
        <f>ROUND(IMDIV(H5,J5),2)</f>
        <v>7.0000000000000007E-2</v>
      </c>
      <c r="Q5" s="10">
        <f>ROUND(IMDIV(B5,F5),2)</f>
        <v>0.89</v>
      </c>
      <c r="R5" s="10">
        <f>ROUND(IMDIV(C5,B5),4)*100</f>
        <v>87.5</v>
      </c>
      <c r="S5" s="10">
        <f>ROUND(IMDIV(I5,J5),2)</f>
        <v>68</v>
      </c>
      <c r="T5" s="11" t="s">
        <v>43</v>
      </c>
      <c r="U5" s="11" t="s">
        <v>25</v>
      </c>
      <c r="V5" s="1">
        <f>((K5/2)+(M5/4)+(L5/5)-(N5)+(S5/215)+(P5/20))+1</f>
        <v>0.98477906976744189</v>
      </c>
    </row>
    <row r="6" spans="1:22" x14ac:dyDescent="0.25">
      <c r="A6" s="40" t="s">
        <v>30</v>
      </c>
      <c r="B6" s="13">
        <v>5</v>
      </c>
      <c r="C6" s="13">
        <v>4</v>
      </c>
      <c r="D6" s="13">
        <v>2</v>
      </c>
      <c r="E6" s="13">
        <v>1</v>
      </c>
      <c r="F6" s="13">
        <v>9</v>
      </c>
      <c r="G6" s="13">
        <v>0</v>
      </c>
      <c r="H6" s="13">
        <v>3</v>
      </c>
      <c r="I6" s="13">
        <v>847</v>
      </c>
      <c r="J6" s="13">
        <v>11</v>
      </c>
      <c r="K6" s="13">
        <f>ROUND(IMDIV(B6,J6),2)</f>
        <v>0.45</v>
      </c>
      <c r="L6" s="14">
        <f>E6/J6</f>
        <v>9.0909090909090912E-2</v>
      </c>
      <c r="M6" s="14">
        <f>D6/J6</f>
        <v>0.18181818181818182</v>
      </c>
      <c r="N6" s="13">
        <f>ROUND(IMDIV(F6,J6),2)</f>
        <v>0.82</v>
      </c>
      <c r="O6" s="13">
        <f>ROUND(IMDIV(G6,J6),2)</f>
        <v>0</v>
      </c>
      <c r="P6" s="13">
        <f>ROUND(IMDIV(H6,J6),2)</f>
        <v>0.27</v>
      </c>
      <c r="Q6" s="13">
        <f>ROUND(IMDIV(B6,F6),2)</f>
        <v>0.56000000000000005</v>
      </c>
      <c r="R6" s="13">
        <f>ROUND(IMDIV(C6,B6),4)*100</f>
        <v>80</v>
      </c>
      <c r="S6" s="13">
        <f>ROUND(IMDIV(I6,J6),2)</f>
        <v>77</v>
      </c>
      <c r="T6" s="15" t="s">
        <v>43</v>
      </c>
      <c r="U6" s="16" t="s">
        <v>25</v>
      </c>
      <c r="V6" s="1">
        <f>((K6/2)+(M6/4)+(L6/5)-(N6)+(S6/215)+(P6/20))+1</f>
        <v>0.84027589852008466</v>
      </c>
    </row>
    <row r="7" spans="1:22" x14ac:dyDescent="0.25">
      <c r="A7" s="40" t="s">
        <v>31</v>
      </c>
      <c r="B7" s="13">
        <v>2</v>
      </c>
      <c r="C7" s="13">
        <v>0</v>
      </c>
      <c r="D7" s="13">
        <v>0</v>
      </c>
      <c r="E7" s="13">
        <v>0</v>
      </c>
      <c r="F7" s="13">
        <v>11</v>
      </c>
      <c r="G7" s="13">
        <v>0</v>
      </c>
      <c r="H7" s="13">
        <v>0</v>
      </c>
      <c r="I7" s="13">
        <v>249</v>
      </c>
      <c r="J7" s="13">
        <v>11</v>
      </c>
      <c r="K7" s="13">
        <f>ROUND(IMDIV(B7,J7),2)</f>
        <v>0.18</v>
      </c>
      <c r="L7" s="14">
        <f>E7/J7</f>
        <v>0</v>
      </c>
      <c r="M7" s="14">
        <f>D7/J7</f>
        <v>0</v>
      </c>
      <c r="N7" s="13">
        <f>ROUND(IMDIV(F7,J7),2)</f>
        <v>1</v>
      </c>
      <c r="O7" s="13">
        <f>ROUND(IMDIV(G7,J7),2)</f>
        <v>0</v>
      </c>
      <c r="P7" s="13">
        <f>ROUND(IMDIV(H7,J7),2)</f>
        <v>0</v>
      </c>
      <c r="Q7" s="13">
        <f>ROUND(IMDIV(B7,F7),2)</f>
        <v>0.18</v>
      </c>
      <c r="R7" s="13">
        <f>ROUND(IMDIV(C7,B7),4)*100</f>
        <v>0</v>
      </c>
      <c r="S7" s="13">
        <f>ROUND(IMDIV(I7,J7),2)</f>
        <v>22.64</v>
      </c>
      <c r="T7" s="15" t="s">
        <v>43</v>
      </c>
      <c r="U7" s="16" t="s">
        <v>25</v>
      </c>
      <c r="V7" s="1">
        <f>((K7/2)+(M7/4)+(L7/5)-(N7)+(S7/215)+(P7/20))+1</f>
        <v>0.19530232558139526</v>
      </c>
    </row>
    <row r="8" spans="1:22" x14ac:dyDescent="0.25">
      <c r="A8" s="41" t="s">
        <v>34</v>
      </c>
      <c r="B8" s="18">
        <v>12</v>
      </c>
      <c r="C8" s="18">
        <v>10</v>
      </c>
      <c r="D8" s="17">
        <v>5</v>
      </c>
      <c r="E8" s="18">
        <v>3</v>
      </c>
      <c r="F8" s="18">
        <v>9</v>
      </c>
      <c r="G8" s="18">
        <v>16</v>
      </c>
      <c r="H8" s="18">
        <v>4</v>
      </c>
      <c r="I8" s="18">
        <v>1260</v>
      </c>
      <c r="J8" s="18">
        <v>15</v>
      </c>
      <c r="K8" s="17">
        <f>ROUND(IMDIV(B8,J8),2)</f>
        <v>0.8</v>
      </c>
      <c r="L8" s="19">
        <f>E8/J8</f>
        <v>0.2</v>
      </c>
      <c r="M8" s="19">
        <f>D8/J8</f>
        <v>0.33333333333333331</v>
      </c>
      <c r="N8" s="17">
        <f>ROUND(IMDIV(F8,J8),2)</f>
        <v>0.6</v>
      </c>
      <c r="O8" s="17">
        <f>ROUND(IMDIV(G8,J8),2)</f>
        <v>1.07</v>
      </c>
      <c r="P8" s="17">
        <f>ROUND(IMDIV(H8,J8),2)</f>
        <v>0.27</v>
      </c>
      <c r="Q8" s="17">
        <f>ROUND(IMDIV(B8,F8),2)</f>
        <v>1.33</v>
      </c>
      <c r="R8" s="17">
        <f>ROUND(IMDIV(C8,B8),4)*100</f>
        <v>83.33</v>
      </c>
      <c r="S8" s="17">
        <f>ROUND(IMDIV(I8,J8),2)</f>
        <v>84</v>
      </c>
      <c r="T8" s="18" t="s">
        <v>43</v>
      </c>
      <c r="U8" s="18" t="s">
        <v>25</v>
      </c>
      <c r="V8" s="1">
        <f>((K8/2)+(M8/4)+(L8/5)-(N8)+(S8/215)+(P8/20))+1</f>
        <v>1.327531007751938</v>
      </c>
    </row>
    <row r="9" spans="1:22" x14ac:dyDescent="0.25">
      <c r="A9" s="41" t="s">
        <v>22</v>
      </c>
      <c r="B9" s="17">
        <v>3</v>
      </c>
      <c r="C9" s="17">
        <v>0</v>
      </c>
      <c r="D9" s="17">
        <v>0</v>
      </c>
      <c r="E9" s="18">
        <v>0</v>
      </c>
      <c r="F9" s="18">
        <v>13</v>
      </c>
      <c r="G9" s="18">
        <v>27</v>
      </c>
      <c r="H9" s="18">
        <v>3</v>
      </c>
      <c r="I9" s="18">
        <v>380</v>
      </c>
      <c r="J9" s="18">
        <v>15</v>
      </c>
      <c r="K9" s="17">
        <f>ROUND(IMDIV(B9,J9),2)</f>
        <v>0.2</v>
      </c>
      <c r="L9" s="19">
        <f>E9/J9</f>
        <v>0</v>
      </c>
      <c r="M9" s="19">
        <f>D9/J9</f>
        <v>0</v>
      </c>
      <c r="N9" s="17">
        <f>ROUND(IMDIV(F9,J9),2)</f>
        <v>0.87</v>
      </c>
      <c r="O9" s="17">
        <f>ROUND(IMDIV(G9,J9),2)</f>
        <v>1.8</v>
      </c>
      <c r="P9" s="17">
        <f>ROUND(IMDIV(H9,J9),2)</f>
        <v>0.2</v>
      </c>
      <c r="Q9" s="17">
        <f>ROUND(IMDIV(B9,F9),2)</f>
        <v>0.23</v>
      </c>
      <c r="R9" s="17">
        <f>ROUND(IMDIV(C9,B9),4)*100</f>
        <v>0</v>
      </c>
      <c r="S9" s="17">
        <f>ROUND(IMDIV(I9,J9),2)</f>
        <v>25.33</v>
      </c>
      <c r="T9" s="18" t="s">
        <v>43</v>
      </c>
      <c r="U9" s="18" t="s">
        <v>25</v>
      </c>
      <c r="V9" s="1">
        <f>((K9/2)+(M9/4)+(L9/5)-(N9)+(S9/215)+(P9/20))+1</f>
        <v>0.35781395348837208</v>
      </c>
    </row>
    <row r="10" spans="1:22" x14ac:dyDescent="0.25">
      <c r="A10" s="42" t="s">
        <v>23</v>
      </c>
      <c r="B10" s="20">
        <v>9</v>
      </c>
      <c r="C10" s="20">
        <v>6</v>
      </c>
      <c r="D10" s="20">
        <v>2</v>
      </c>
      <c r="E10" s="20">
        <v>1</v>
      </c>
      <c r="F10" s="20">
        <v>8</v>
      </c>
      <c r="G10" s="20">
        <v>4</v>
      </c>
      <c r="H10" s="20">
        <v>3</v>
      </c>
      <c r="I10" s="20">
        <v>960</v>
      </c>
      <c r="J10" s="20">
        <v>16</v>
      </c>
      <c r="K10" s="20">
        <f>ROUND(IMDIV(B10,J10),2)</f>
        <v>0.56000000000000005</v>
      </c>
      <c r="L10" s="21">
        <f>E10/J10</f>
        <v>6.25E-2</v>
      </c>
      <c r="M10" s="21">
        <f>D10/J10</f>
        <v>0.125</v>
      </c>
      <c r="N10" s="20">
        <f>ROUND(IMDIV(F10,J10),2)</f>
        <v>0.5</v>
      </c>
      <c r="O10" s="20">
        <f>ROUND(IMDIV(G10,J10),2)</f>
        <v>0.25</v>
      </c>
      <c r="P10" s="20">
        <f>ROUND(IMDIV(H10,J10),2)</f>
        <v>0.19</v>
      </c>
      <c r="Q10" s="20">
        <f>ROUND(IMDIV(B10,F10),2)</f>
        <v>1.1299999999999999</v>
      </c>
      <c r="R10" s="20">
        <f>ROUND(IMDIV(C10,B10),4)*100</f>
        <v>66.67</v>
      </c>
      <c r="S10" s="20">
        <f>ROUND(IMDIV(I10,J10),2)</f>
        <v>60</v>
      </c>
      <c r="T10" s="20" t="s">
        <v>43</v>
      </c>
      <c r="U10" s="20" t="s">
        <v>25</v>
      </c>
      <c r="V10" s="1">
        <f>((K10/2)+(M10/4)+(L10/5)-(N10)+(S10/215)+(P10/20))+1</f>
        <v>1.1123197674418606</v>
      </c>
    </row>
    <row r="11" spans="1:22" x14ac:dyDescent="0.25">
      <c r="A11" s="42" t="s">
        <v>24</v>
      </c>
      <c r="B11" s="20">
        <v>10</v>
      </c>
      <c r="C11" s="20">
        <v>5</v>
      </c>
      <c r="D11" s="20">
        <v>2</v>
      </c>
      <c r="E11" s="20">
        <v>1</v>
      </c>
      <c r="F11" s="20">
        <v>11</v>
      </c>
      <c r="G11" s="20">
        <v>0</v>
      </c>
      <c r="H11" s="20">
        <v>4</v>
      </c>
      <c r="I11" s="20">
        <v>1200</v>
      </c>
      <c r="J11" s="20">
        <v>16</v>
      </c>
      <c r="K11" s="20">
        <f>ROUND(IMDIV(B11,J11),2)</f>
        <v>0.63</v>
      </c>
      <c r="L11" s="21">
        <f>E11/J11</f>
        <v>6.25E-2</v>
      </c>
      <c r="M11" s="21">
        <f>D11/J11</f>
        <v>0.125</v>
      </c>
      <c r="N11" s="20">
        <f>ROUND(IMDIV(F11,J11),2)</f>
        <v>0.69</v>
      </c>
      <c r="O11" s="20">
        <f>ROUND(IMDIV(G11,J11),2)</f>
        <v>0</v>
      </c>
      <c r="P11" s="20">
        <f>ROUND(IMDIV(H11,J11),2)</f>
        <v>0.25</v>
      </c>
      <c r="Q11" s="20">
        <f>ROUND(IMDIV(B11,F11),2)</f>
        <v>0.91</v>
      </c>
      <c r="R11" s="20">
        <f>ROUND(IMDIV(C11,B11),4)*100</f>
        <v>50</v>
      </c>
      <c r="S11" s="20">
        <f>ROUND(IMDIV(I11,J11),2)</f>
        <v>75</v>
      </c>
      <c r="T11" s="20" t="s">
        <v>43</v>
      </c>
      <c r="U11" s="20" t="s">
        <v>25</v>
      </c>
      <c r="V11" s="1">
        <f>((K11/2)+(M11/4)+(L11/5)-(N11)+(S11/215)+(P11/20))+1</f>
        <v>1.0300872093023257</v>
      </c>
    </row>
    <row r="12" spans="1:22" x14ac:dyDescent="0.25">
      <c r="A12" s="43" t="s">
        <v>35</v>
      </c>
      <c r="B12" s="22">
        <v>20</v>
      </c>
      <c r="C12" s="22">
        <v>17</v>
      </c>
      <c r="D12" s="22">
        <v>7</v>
      </c>
      <c r="E12" s="22">
        <v>4</v>
      </c>
      <c r="F12" s="22">
        <v>24</v>
      </c>
      <c r="G12" s="22">
        <v>0</v>
      </c>
      <c r="H12" s="22">
        <v>3</v>
      </c>
      <c r="I12" s="22">
        <v>1890</v>
      </c>
      <c r="J12" s="22">
        <v>35</v>
      </c>
      <c r="K12" s="23">
        <f>ROUND(IMDIV(B12,J12),2)</f>
        <v>0.56999999999999995</v>
      </c>
      <c r="L12" s="24">
        <f>E12/J12</f>
        <v>0.11428571428571428</v>
      </c>
      <c r="M12" s="24">
        <f>D12/J12</f>
        <v>0.2</v>
      </c>
      <c r="N12" s="23">
        <f>ROUND(IMDIV(F12,J12),2)</f>
        <v>0.69</v>
      </c>
      <c r="O12" s="23">
        <f>ROUND(IMDIV(G12,J12),2)</f>
        <v>0</v>
      </c>
      <c r="P12" s="23">
        <f>ROUND(IMDIV(H12,J12),2)</f>
        <v>0.09</v>
      </c>
      <c r="Q12" s="23">
        <f>ROUND(IMDIV(B12,F12),2)</f>
        <v>0.83</v>
      </c>
      <c r="R12" s="23">
        <f>ROUND(IMDIV(C12,B12),4)*100</f>
        <v>85</v>
      </c>
      <c r="S12" s="23">
        <f>ROUND(IMDIV(I12,J12),2)</f>
        <v>54</v>
      </c>
      <c r="T12" s="25" t="s">
        <v>43</v>
      </c>
      <c r="U12" s="25" t="s">
        <v>25</v>
      </c>
      <c r="V12" s="1">
        <f>((K12/2)+(M12/4)+(L12/5)-(N12)+(S12/215)+(P12/20))+1</f>
        <v>0.92351993355481732</v>
      </c>
    </row>
    <row r="13" spans="1:22" x14ac:dyDescent="0.25">
      <c r="A13" s="43" t="s">
        <v>36</v>
      </c>
      <c r="B13" s="22">
        <v>17</v>
      </c>
      <c r="C13" s="22">
        <v>7</v>
      </c>
      <c r="D13" s="22">
        <v>5</v>
      </c>
      <c r="E13" s="22">
        <v>2</v>
      </c>
      <c r="F13" s="22">
        <v>26</v>
      </c>
      <c r="G13" s="22">
        <v>48</v>
      </c>
      <c r="H13" s="22">
        <v>10</v>
      </c>
      <c r="I13" s="22">
        <v>2415</v>
      </c>
      <c r="J13" s="22">
        <v>35</v>
      </c>
      <c r="K13" s="23">
        <f>ROUND(IMDIV(B13,J13),2)</f>
        <v>0.49</v>
      </c>
      <c r="L13" s="24">
        <f>E13/J13</f>
        <v>5.7142857142857141E-2</v>
      </c>
      <c r="M13" s="24">
        <f>D13/J13</f>
        <v>0.14285714285714285</v>
      </c>
      <c r="N13" s="23">
        <f>ROUND(IMDIV(F13,J13),2)</f>
        <v>0.74</v>
      </c>
      <c r="O13" s="23">
        <f>ROUND(IMDIV(G13,J13),2)</f>
        <v>1.37</v>
      </c>
      <c r="P13" s="23">
        <f>ROUND(IMDIV(H13,J13),2)</f>
        <v>0.28999999999999998</v>
      </c>
      <c r="Q13" s="23">
        <f>ROUND(IMDIV(B13,F13),2)</f>
        <v>0.65</v>
      </c>
      <c r="R13" s="23">
        <f>ROUND(IMDIV(C13,B13),4)*100</f>
        <v>41.18</v>
      </c>
      <c r="S13" s="23">
        <f>ROUND(IMDIV(I13,J13),2)</f>
        <v>69</v>
      </c>
      <c r="T13" s="25" t="s">
        <v>43</v>
      </c>
      <c r="U13" s="25" t="s">
        <v>25</v>
      </c>
      <c r="V13" s="1">
        <f>((K13/2)+(M13/4)+(L13/5)-(N13)+(S13/215)+(P13/20))+1</f>
        <v>0.88757308970099669</v>
      </c>
    </row>
    <row r="14" spans="1:22" x14ac:dyDescent="0.25">
      <c r="A14" s="44" t="s">
        <v>37</v>
      </c>
      <c r="B14" s="26">
        <v>3</v>
      </c>
      <c r="C14" s="26">
        <v>2</v>
      </c>
      <c r="D14" s="26">
        <v>0</v>
      </c>
      <c r="E14" s="26">
        <v>0</v>
      </c>
      <c r="F14" s="26">
        <v>9</v>
      </c>
      <c r="G14" s="26">
        <v>8</v>
      </c>
      <c r="H14" s="26">
        <v>0</v>
      </c>
      <c r="I14" s="26">
        <v>550</v>
      </c>
      <c r="J14" s="26">
        <v>10</v>
      </c>
      <c r="K14" s="27">
        <f>ROUND(IMDIV(B14,J14),2)</f>
        <v>0.3</v>
      </c>
      <c r="L14" s="28">
        <f>E14/J14</f>
        <v>0</v>
      </c>
      <c r="M14" s="28">
        <f>D14/J14</f>
        <v>0</v>
      </c>
      <c r="N14" s="27">
        <f>ROUND(IMDIV(F14,J14),2)</f>
        <v>0.9</v>
      </c>
      <c r="O14" s="27">
        <f>ROUND(IMDIV(G14,J14),2)</f>
        <v>0.8</v>
      </c>
      <c r="P14" s="27">
        <f>ROUND(IMDIV(H14,J14),2)</f>
        <v>0</v>
      </c>
      <c r="Q14" s="27">
        <f>ROUND(IMDIV(B14,F14),2)</f>
        <v>0.33</v>
      </c>
      <c r="R14" s="27">
        <f>ROUND(IMDIV(C14,B14),4)*100</f>
        <v>66.67</v>
      </c>
      <c r="S14" s="27">
        <f>ROUND(IMDIV(I14,J14),2)</f>
        <v>55</v>
      </c>
      <c r="T14" s="27" t="s">
        <v>43</v>
      </c>
      <c r="U14" s="27" t="s">
        <v>25</v>
      </c>
      <c r="V14" s="1">
        <f>((K14/2)+(M14/4)+(L14/5)-(N14)+(S14/215)+(P14/20))+1</f>
        <v>0.5058139534883721</v>
      </c>
    </row>
    <row r="15" spans="1:22" x14ac:dyDescent="0.25">
      <c r="A15" s="44" t="s">
        <v>26</v>
      </c>
      <c r="B15" s="26">
        <v>3</v>
      </c>
      <c r="C15" s="26">
        <v>1</v>
      </c>
      <c r="D15" s="26">
        <v>1</v>
      </c>
      <c r="E15" s="26">
        <v>0</v>
      </c>
      <c r="F15" s="26">
        <v>9</v>
      </c>
      <c r="G15" s="27">
        <v>0</v>
      </c>
      <c r="H15" s="26">
        <v>1</v>
      </c>
      <c r="I15" s="26">
        <v>400</v>
      </c>
      <c r="J15" s="26">
        <v>10</v>
      </c>
      <c r="K15" s="27">
        <f>ROUND(IMDIV(B15,J15),2)</f>
        <v>0.3</v>
      </c>
      <c r="L15" s="28">
        <f>E15/J15</f>
        <v>0</v>
      </c>
      <c r="M15" s="28">
        <f>D15/J15</f>
        <v>0.1</v>
      </c>
      <c r="N15" s="27">
        <f>ROUND(IMDIV(F15,J15),2)</f>
        <v>0.9</v>
      </c>
      <c r="O15" s="27">
        <f>ROUND(IMDIV(G15,J15),2)</f>
        <v>0</v>
      </c>
      <c r="P15" s="27">
        <f>ROUND(IMDIV(H15,J15),2)</f>
        <v>0.1</v>
      </c>
      <c r="Q15" s="27">
        <f>ROUND(IMDIV(B15,F15),2)</f>
        <v>0.33</v>
      </c>
      <c r="R15" s="27">
        <f>ROUND(IMDIV(C15,B15),4)*100</f>
        <v>33.33</v>
      </c>
      <c r="S15" s="27">
        <f>ROUND(IMDIV(I15,J15),2)</f>
        <v>40</v>
      </c>
      <c r="T15" s="27" t="s">
        <v>43</v>
      </c>
      <c r="U15" s="27" t="s">
        <v>25</v>
      </c>
      <c r="V15" s="1">
        <f>((K15/2)+(M15/4)+(L15/5)-(N15)+(S15/215)+(P15/20))+1</f>
        <v>0.46604651162790689</v>
      </c>
    </row>
    <row r="16" spans="1:22" x14ac:dyDescent="0.25">
      <c r="A16" s="45" t="s">
        <v>38</v>
      </c>
      <c r="B16" s="29">
        <v>8</v>
      </c>
      <c r="C16" s="29">
        <v>3</v>
      </c>
      <c r="D16" s="29">
        <v>0</v>
      </c>
      <c r="E16" s="29">
        <v>0</v>
      </c>
      <c r="F16" s="29">
        <v>9</v>
      </c>
      <c r="G16" s="29">
        <v>0</v>
      </c>
      <c r="H16" s="29">
        <v>4</v>
      </c>
      <c r="I16" s="29">
        <v>1216</v>
      </c>
      <c r="J16" s="29">
        <v>16</v>
      </c>
      <c r="K16" s="30">
        <f>ROUND(IMDIV(B16,J16),2)</f>
        <v>0.5</v>
      </c>
      <c r="L16" s="31">
        <f>E16/J16</f>
        <v>0</v>
      </c>
      <c r="M16" s="31">
        <f>D16/J16</f>
        <v>0</v>
      </c>
      <c r="N16" s="30">
        <f>ROUND(IMDIV(F16,J16),2)</f>
        <v>0.56000000000000005</v>
      </c>
      <c r="O16" s="30">
        <f>ROUND(IMDIV(G16,J16),2)</f>
        <v>0</v>
      </c>
      <c r="P16" s="30">
        <f>ROUND(IMDIV(H16,J16),2)</f>
        <v>0.25</v>
      </c>
      <c r="Q16" s="30">
        <f>ROUND(IMDIV(B16,F16),2)</f>
        <v>0.89</v>
      </c>
      <c r="R16" s="30">
        <f>ROUND(IMDIV(C16,B16),4)*100</f>
        <v>37.5</v>
      </c>
      <c r="S16" s="30">
        <f>ROUND(IMDIV(I16,J16),2)</f>
        <v>76</v>
      </c>
      <c r="T16" s="29" t="s">
        <v>43</v>
      </c>
      <c r="U16" s="29" t="s">
        <v>25</v>
      </c>
      <c r="V16" s="1">
        <f>((K16/2)+(M16/4)+(L16/5)-(N16)+(S16/215)+(P16/20))+1</f>
        <v>1.0559883720930232</v>
      </c>
    </row>
    <row r="17" spans="1:22" x14ac:dyDescent="0.25">
      <c r="A17" s="45" t="s">
        <v>39</v>
      </c>
      <c r="B17" s="29">
        <v>11</v>
      </c>
      <c r="C17" s="29">
        <v>3</v>
      </c>
      <c r="D17" s="29">
        <v>3</v>
      </c>
      <c r="E17" s="29">
        <v>0</v>
      </c>
      <c r="F17" s="29">
        <v>10</v>
      </c>
      <c r="G17" s="29">
        <v>49</v>
      </c>
      <c r="H17" s="29">
        <v>2</v>
      </c>
      <c r="I17" s="29">
        <v>1136</v>
      </c>
      <c r="J17" s="29">
        <v>16</v>
      </c>
      <c r="K17" s="30">
        <f>ROUND(IMDIV(B17,J17),2)</f>
        <v>0.69</v>
      </c>
      <c r="L17" s="31">
        <f>E17/J17</f>
        <v>0</v>
      </c>
      <c r="M17" s="31">
        <f>D17/J17</f>
        <v>0.1875</v>
      </c>
      <c r="N17" s="30">
        <f>ROUND(IMDIV(F17,J17),2)</f>
        <v>0.63</v>
      </c>
      <c r="O17" s="30">
        <f>ROUND(IMDIV(G17,J17),2)</f>
        <v>3.06</v>
      </c>
      <c r="P17" s="30">
        <f>ROUND(IMDIV(H17,J17),2)</f>
        <v>0.13</v>
      </c>
      <c r="Q17" s="30">
        <f>ROUND(IMDIV(B17,F17),2)</f>
        <v>1.1000000000000001</v>
      </c>
      <c r="R17" s="30">
        <f>ROUND(IMDIV(C17,B17),4)*100</f>
        <v>27.27</v>
      </c>
      <c r="S17" s="30">
        <f>ROUND(IMDIV(I17,J17),2)</f>
        <v>71</v>
      </c>
      <c r="T17" s="29" t="s">
        <v>43</v>
      </c>
      <c r="U17" s="29" t="s">
        <v>25</v>
      </c>
      <c r="V17" s="1">
        <f>((K17/2)+(M17/4)+(L17/5)-(N17)+(S17/215)+(P17/20))+1</f>
        <v>1.0986075581395349</v>
      </c>
    </row>
    <row r="18" spans="1:22" x14ac:dyDescent="0.25">
      <c r="A18" s="46" t="s">
        <v>40</v>
      </c>
      <c r="B18" s="32">
        <v>14</v>
      </c>
      <c r="C18" s="32">
        <v>7</v>
      </c>
      <c r="D18" s="32">
        <v>3</v>
      </c>
      <c r="E18" s="32">
        <v>1</v>
      </c>
      <c r="F18" s="32">
        <v>5</v>
      </c>
      <c r="G18" s="32">
        <v>150</v>
      </c>
      <c r="H18" s="32">
        <v>1</v>
      </c>
      <c r="I18" s="32">
        <v>1652</v>
      </c>
      <c r="J18" s="32">
        <v>14</v>
      </c>
      <c r="K18" s="33">
        <f>ROUND(IMDIV(B18,J18),2)</f>
        <v>1</v>
      </c>
      <c r="L18" s="34">
        <f>E18/J18</f>
        <v>7.1428571428571425E-2</v>
      </c>
      <c r="M18" s="34">
        <f>D18/J18</f>
        <v>0.21428571428571427</v>
      </c>
      <c r="N18" s="33">
        <f>ROUND(IMDIV(F18,J18),2)</f>
        <v>0.36</v>
      </c>
      <c r="O18" s="33">
        <f>ROUND(IMDIV(G18,J18),2)</f>
        <v>10.71</v>
      </c>
      <c r="P18" s="33">
        <f>ROUND(IMDIV(H18,J18),2)</f>
        <v>7.0000000000000007E-2</v>
      </c>
      <c r="Q18" s="33">
        <f>ROUND(IMDIV(B18,F18),2)</f>
        <v>2.8</v>
      </c>
      <c r="R18" s="33">
        <f>ROUND(IMDIV(C18,B18),4)*100</f>
        <v>50</v>
      </c>
      <c r="S18" s="33">
        <f>ROUND(IMDIV(I18,J18),2)</f>
        <v>118</v>
      </c>
      <c r="T18" s="32" t="s">
        <v>43</v>
      </c>
      <c r="U18" s="32" t="s">
        <v>25</v>
      </c>
      <c r="V18" s="1">
        <f>((K18/2)+(M18/4)+(L18/5)-(N18)+(S18/215)+(P18/20))+1</f>
        <v>1.7601943521594685</v>
      </c>
    </row>
    <row r="19" spans="1:22" x14ac:dyDescent="0.25">
      <c r="A19" s="46" t="s">
        <v>41</v>
      </c>
      <c r="B19" s="32">
        <v>8</v>
      </c>
      <c r="C19" s="32">
        <v>4</v>
      </c>
      <c r="D19" s="32">
        <v>0</v>
      </c>
      <c r="E19" s="32">
        <v>0</v>
      </c>
      <c r="F19" s="32">
        <v>8</v>
      </c>
      <c r="G19" s="32">
        <v>54</v>
      </c>
      <c r="H19" s="32">
        <v>2</v>
      </c>
      <c r="I19" s="32">
        <v>798</v>
      </c>
      <c r="J19" s="32">
        <v>14</v>
      </c>
      <c r="K19" s="33">
        <f>ROUND(IMDIV(B19,J19),2)</f>
        <v>0.56999999999999995</v>
      </c>
      <c r="L19" s="34">
        <f>E19/J19</f>
        <v>0</v>
      </c>
      <c r="M19" s="34">
        <f>D19/J19</f>
        <v>0</v>
      </c>
      <c r="N19" s="33">
        <f>ROUND(IMDIV(F19,J19),2)</f>
        <v>0.56999999999999995</v>
      </c>
      <c r="O19" s="33">
        <f>ROUND(IMDIV(G19,J19),2)</f>
        <v>3.86</v>
      </c>
      <c r="P19" s="33">
        <f>ROUND(IMDIV(H19,J19),2)</f>
        <v>0.14000000000000001</v>
      </c>
      <c r="Q19" s="33">
        <f>ROUND(IMDIV(B19,F19),2)</f>
        <v>1</v>
      </c>
      <c r="R19" s="33">
        <f>ROUND(IMDIV(C19,B19),4)*100</f>
        <v>50</v>
      </c>
      <c r="S19" s="33">
        <f>ROUND(IMDIV(I19,J19),2)</f>
        <v>57</v>
      </c>
      <c r="T19" s="32" t="s">
        <v>43</v>
      </c>
      <c r="U19" s="32" t="s">
        <v>25</v>
      </c>
      <c r="V19" s="1">
        <f>((K19/2)+(M19/4)+(L19/5)-(N19)+(S19/215)+(P19/20))+1</f>
        <v>0.9871162790697674</v>
      </c>
    </row>
    <row r="20" spans="1:22" x14ac:dyDescent="0.25">
      <c r="A20" s="47" t="s">
        <v>42</v>
      </c>
      <c r="B20" s="35">
        <v>10</v>
      </c>
      <c r="C20" s="35">
        <v>1</v>
      </c>
      <c r="D20" s="35">
        <v>3</v>
      </c>
      <c r="E20" s="35">
        <v>0</v>
      </c>
      <c r="F20" s="35">
        <v>3</v>
      </c>
      <c r="G20" s="35">
        <v>10</v>
      </c>
      <c r="H20" s="35">
        <v>4</v>
      </c>
      <c r="I20" s="35">
        <v>1000</v>
      </c>
      <c r="J20" s="35">
        <v>10</v>
      </c>
      <c r="K20" s="36">
        <f>ROUND(IMDIV(B20,J20),2)</f>
        <v>1</v>
      </c>
      <c r="L20" s="37">
        <f>E20/J20</f>
        <v>0</v>
      </c>
      <c r="M20" s="37">
        <f>D20/J20</f>
        <v>0.3</v>
      </c>
      <c r="N20" s="36">
        <f>ROUND(IMDIV(F20,J20),2)</f>
        <v>0.3</v>
      </c>
      <c r="O20" s="36">
        <f>ROUND(IMDIV(G20,J20),2)</f>
        <v>1</v>
      </c>
      <c r="P20" s="36">
        <f>ROUND(IMDIV(H20,J20),2)</f>
        <v>0.4</v>
      </c>
      <c r="Q20" s="36">
        <f>ROUND(IMDIV(B20,F20),2)</f>
        <v>3.33</v>
      </c>
      <c r="R20" s="36">
        <f>ROUND(IMDIV(C20,B20),4)*100</f>
        <v>10</v>
      </c>
      <c r="S20" s="36">
        <f>ROUND(IMDIV(I20,J20),2)</f>
        <v>100</v>
      </c>
      <c r="T20" s="35" t="s">
        <v>43</v>
      </c>
      <c r="U20" s="35" t="s">
        <v>25</v>
      </c>
      <c r="V20" s="1">
        <f>((K20/2)+(M20/4)+(L20/5)-(N20)+(S20/215)+(P20/20))+1</f>
        <v>1.7601162790697673</v>
      </c>
    </row>
    <row r="21" spans="1:22" x14ac:dyDescent="0.25">
      <c r="A21" s="47" t="s">
        <v>27</v>
      </c>
      <c r="B21" s="35">
        <v>8</v>
      </c>
      <c r="C21" s="35">
        <v>2</v>
      </c>
      <c r="D21" s="35">
        <v>2</v>
      </c>
      <c r="E21" s="35">
        <v>1</v>
      </c>
      <c r="F21" s="35">
        <v>3</v>
      </c>
      <c r="G21" s="35">
        <v>0</v>
      </c>
      <c r="H21" s="35">
        <v>0</v>
      </c>
      <c r="I21" s="35">
        <v>830</v>
      </c>
      <c r="J21" s="35">
        <v>10</v>
      </c>
      <c r="K21" s="36">
        <f>ROUND(IMDIV(B21,J21),2)</f>
        <v>0.8</v>
      </c>
      <c r="L21" s="37">
        <f>E21/J21</f>
        <v>0.1</v>
      </c>
      <c r="M21" s="37">
        <f>D21/J21</f>
        <v>0.2</v>
      </c>
      <c r="N21" s="36">
        <f>ROUND(IMDIV(F21,J21),2)</f>
        <v>0.3</v>
      </c>
      <c r="O21" s="36">
        <f>ROUND(IMDIV(G21,J21),2)</f>
        <v>0</v>
      </c>
      <c r="P21" s="36">
        <f>ROUND(IMDIV(H21,J21),2)</f>
        <v>0</v>
      </c>
      <c r="Q21" s="36">
        <f>ROUND(IMDIV(B21,F21),2)</f>
        <v>2.67</v>
      </c>
      <c r="R21" s="36">
        <f>ROUND(IMDIV(C21,B21),4)*100</f>
        <v>25</v>
      </c>
      <c r="S21" s="36">
        <f>ROUND(IMDIV(I21,J21),2)</f>
        <v>83</v>
      </c>
      <c r="T21" s="35" t="s">
        <v>43</v>
      </c>
      <c r="U21" s="35" t="s">
        <v>25</v>
      </c>
      <c r="V21" s="1">
        <f>((K21/2)+(M21/4)+(L21/5)-(N21)+(S21/215)+(P21/20))+1</f>
        <v>1.556046511627907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2026-02-10T15:32:52Z</dcterms:modified>
</cp:coreProperties>
</file>