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6869C109-053B-4327-8584-F035651B4560}" xr6:coauthVersionLast="47" xr6:coauthVersionMax="47" xr10:uidLastSave="{00000000-0000-0000-0000-000000000000}"/>
  <bookViews>
    <workbookView xWindow="2205" yWindow="2235" windowWidth="25815" windowHeight="1281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L22" i="1"/>
  <c r="M22" i="1"/>
  <c r="N22" i="1"/>
  <c r="O22" i="1"/>
  <c r="P22" i="1"/>
  <c r="Q22" i="1"/>
  <c r="R22" i="1"/>
  <c r="S22" i="1"/>
  <c r="V22" i="1" l="1"/>
  <c r="S14" i="1"/>
  <c r="L8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K8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11" i="1"/>
  <c r="R11" i="1"/>
  <c r="S10" i="1"/>
  <c r="R10" i="1"/>
  <c r="S7" i="1"/>
  <c r="R7" i="1"/>
  <c r="S6" i="1"/>
  <c r="R6" i="1"/>
  <c r="S3" i="1"/>
  <c r="R3" i="1"/>
  <c r="S2" i="1"/>
  <c r="R2" i="1"/>
  <c r="V11" i="1" l="1"/>
  <c r="V8" i="1"/>
  <c r="V10" i="1"/>
  <c r="V17" i="1"/>
  <c r="V9" i="1"/>
  <c r="V15" i="1"/>
  <c r="V19" i="1"/>
  <c r="V4" i="1"/>
  <c r="V13" i="1"/>
  <c r="V6" i="1"/>
  <c r="V12" i="1"/>
  <c r="V21" i="1"/>
  <c r="V20" i="1"/>
  <c r="V18" i="1"/>
  <c r="V2" i="1"/>
  <c r="V14" i="1"/>
  <c r="V7" i="1"/>
  <c r="V5" i="1"/>
  <c r="V16" i="1"/>
  <c r="V3" i="1"/>
</calcChain>
</file>

<file path=xl/sharedStrings.xml><?xml version="1.0" encoding="utf-8"?>
<sst xmlns="http://schemas.openxmlformats.org/spreadsheetml/2006/main" count="85" uniqueCount="48">
  <si>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</si>
  <si>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</si>
  <si>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</si>
  <si>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</si>
  <si>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</si>
  <si>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</si>
  <si>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</si>
  <si>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</si>
  <si>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</si>
  <si>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</si>
  <si>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</si>
  <si>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</si>
  <si>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</si>
  <si>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</si>
  <si>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</si>
  <si>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</si>
  <si>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</si>
  <si>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</si>
  <si>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</si>
  <si>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</si>
  <si>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</si>
  <si>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</si>
  <si>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</si>
  <si>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</si>
  <si>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</si>
  <si>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</si>
  <si>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</si>
  <si>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</si>
  <si>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</si>
  <si>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</si>
  <si>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</si>
  <si>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</si>
  <si>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</si>
  <si>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</si>
  <si>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</si>
  <si>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</si>
  <si>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</si>
  <si>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</si>
  <si>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</si>
  <si>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</si>
  <si>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</si>
  <si>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</si>
  <si>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PadRating1.2</t>
  </si>
  <si>
    <t>Dmah</t>
  </si>
  <si>
    <t>nth</t>
  </si>
  <si>
    <t>3rd-4th</t>
  </si>
  <si>
    <t>5th-6th</t>
  </si>
  <si>
    <t>7th-10th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</si>
</sst>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tabSelected="1" zoomScaleNormal="100" workbookViewId="0">
      <selection activeCell="P20" sqref="P20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>
        <v>112</v>
      </c>
      <c r="C2" s="6">
        <v>73</v>
      </c>
      <c r="D2" s="6">
        <v>32</v>
      </c>
      <c r="E2" s="6">
        <v>8</v>
      </c>
      <c r="F2" s="6">
        <v>55</v>
      </c>
      <c r="G2" s="6">
        <v>668</v>
      </c>
      <c r="H2" s="6">
        <v>31</v>
      </c>
      <c r="I2" s="6">
        <v>12100</v>
      </c>
      <c r="J2" s="6">
        <v>118</v>
      </c>
      <c r="K2" s="6">
        <f>ROUND(IMDIV(B2,J2),2)</f>
        <v>0.95</v>
      </c>
      <c r="L2" s="7">
        <f>E2/J2</f>
        <v>6.7796610169491525E-2</v>
      </c>
      <c r="M2" s="7">
        <f>D2/J2</f>
        <v>0.2711864406779661</v>
      </c>
      <c r="N2" s="6">
        <f>ROUND(IMDIV(F2,J2),2)</f>
        <v>0.47</v>
      </c>
      <c r="O2" s="6">
        <f>ROUND(IMDIV(G2,J2),2)</f>
        <v>5.66</v>
      </c>
      <c r="P2" s="6">
        <f>ROUND(IMDIV(H2,J2),2)</f>
        <v>0.26</v>
      </c>
      <c r="Q2" s="6">
        <f>ROUND(IMDIV(B2,F2),2)</f>
        <v>2.04</v>
      </c>
      <c r="R2" s="6">
        <f>ROUND(IMDIV(C2,B2),4)*100</f>
        <v>65.180000000000007</v>
      </c>
      <c r="S2" s="6">
        <f>ROUND(IMDIV(I2,J2),2)</f>
        <v>102.54</v>
      </c>
      <c r="T2" s="6" t="s">
        <v>45</v>
      </c>
      <c r="U2" s="8" t="s">
        <v>24</v>
      </c>
      <c r="V2" s="45">
        <f>((K2/2.5)+(M2/4)+(L2/5)-(N2)+(S2/215)+(P2/20))+1</f>
        <v>1.4812861647615294</v>
      </c>
    </row>
    <row r="3" spans="1:22" x14ac:dyDescent="0.25">
      <c r="A3" s="35" t="s">
        <v>27</v>
      </c>
      <c r="B3" s="6">
        <v>57</v>
      </c>
      <c r="C3" s="6">
        <v>29</v>
      </c>
      <c r="D3" s="6">
        <v>10</v>
      </c>
      <c r="E3" s="6">
        <v>2</v>
      </c>
      <c r="F3" s="6">
        <v>72</v>
      </c>
      <c r="G3" s="6">
        <v>41</v>
      </c>
      <c r="H3" s="6">
        <v>14</v>
      </c>
      <c r="I3" s="6">
        <v>6117</v>
      </c>
      <c r="J3" s="6">
        <v>118</v>
      </c>
      <c r="K3" s="6">
        <f>ROUND(IMDIV(B3,J3),2)</f>
        <v>0.48</v>
      </c>
      <c r="L3" s="7">
        <f>E3/J3</f>
        <v>1.6949152542372881E-2</v>
      </c>
      <c r="M3" s="7">
        <f>D3/J3</f>
        <v>8.4745762711864403E-2</v>
      </c>
      <c r="N3" s="6">
        <f>ROUND(IMDIV(F3,J3),2)</f>
        <v>0.61</v>
      </c>
      <c r="O3" s="6">
        <f>ROUND(IMDIV(G3,J3),2)</f>
        <v>0.35</v>
      </c>
      <c r="P3" s="6">
        <f>ROUND(IMDIV(H3,J3),2)</f>
        <v>0.12</v>
      </c>
      <c r="Q3" s="6">
        <f>ROUND(IMDIV(B3,F3),2)</f>
        <v>0.79</v>
      </c>
      <c r="R3" s="6">
        <f>ROUND(IMDIV(C3,B3),4)*100</f>
        <v>50.88</v>
      </c>
      <c r="S3" s="6">
        <f>ROUND(IMDIV(I3,J3),2)</f>
        <v>51.84</v>
      </c>
      <c r="T3" s="6" t="s">
        <v>45</v>
      </c>
      <c r="U3" s="8" t="s">
        <v>24</v>
      </c>
      <c r="V3" s="45">
        <f>((K3/2.5)+(M3/4)+(L3/5)-(N3)+(S3/215)+(P3/20))+1</f>
        <v>0.85369255025620816</v>
      </c>
    </row>
    <row r="4" spans="1:22" x14ac:dyDescent="0.25">
      <c r="A4" s="43" t="s">
        <v>39</v>
      </c>
      <c r="B4" s="29">
        <v>108</v>
      </c>
      <c r="C4" s="29">
        <v>62</v>
      </c>
      <c r="D4" s="29">
        <v>35</v>
      </c>
      <c r="E4" s="29">
        <v>10</v>
      </c>
      <c r="F4" s="29">
        <v>60</v>
      </c>
      <c r="G4" s="29">
        <v>794</v>
      </c>
      <c r="H4" s="29">
        <v>15</v>
      </c>
      <c r="I4" s="29">
        <v>12350</v>
      </c>
      <c r="J4" s="29">
        <v>122</v>
      </c>
      <c r="K4" s="30">
        <f>ROUND(IMDIV(B4,J4),2)</f>
        <v>0.89</v>
      </c>
      <c r="L4" s="31">
        <f>E4/J4</f>
        <v>8.1967213114754092E-2</v>
      </c>
      <c r="M4" s="31">
        <f>D4/J4</f>
        <v>0.28688524590163933</v>
      </c>
      <c r="N4" s="30">
        <f>ROUND(IMDIV(F4,J4),2)</f>
        <v>0.49</v>
      </c>
      <c r="O4" s="30">
        <f>ROUND(IMDIV(G4,J4),2)</f>
        <v>6.51</v>
      </c>
      <c r="P4" s="30">
        <f>ROUND(IMDIV(H4,J4),2)</f>
        <v>0.12</v>
      </c>
      <c r="Q4" s="30">
        <f>ROUND(IMDIV(B4,F4),2)</f>
        <v>1.8</v>
      </c>
      <c r="R4" s="30">
        <f>ROUND(IMDIV(C4,B4),4)*100</f>
        <v>57.410000000000004</v>
      </c>
      <c r="S4" s="30">
        <f>ROUND(IMDIV(I4,J4),2)</f>
        <v>101.23</v>
      </c>
      <c r="T4" s="29" t="s">
        <v>45</v>
      </c>
      <c r="U4" s="29" t="s">
        <v>24</v>
      </c>
      <c r="V4" s="45">
        <f>((K4/2.5)+(M4/4)+(L4/5)-(N4)+(S4/215)+(P4/20))+1</f>
        <v>1.4309519634006862</v>
      </c>
    </row>
    <row r="5" spans="1:22" x14ac:dyDescent="0.25">
      <c r="A5" s="43" t="s">
        <v>40</v>
      </c>
      <c r="B5" s="29">
        <v>50</v>
      </c>
      <c r="C5" s="29">
        <v>18</v>
      </c>
      <c r="D5" s="29">
        <v>6</v>
      </c>
      <c r="E5" s="29">
        <v>3</v>
      </c>
      <c r="F5" s="29">
        <v>67</v>
      </c>
      <c r="G5" s="29">
        <v>233</v>
      </c>
      <c r="H5" s="29">
        <v>24</v>
      </c>
      <c r="I5" s="29">
        <v>5570</v>
      </c>
      <c r="J5" s="29">
        <v>122</v>
      </c>
      <c r="K5" s="30">
        <f>ROUND(IMDIV(B5,J5),2)</f>
        <v>0.41</v>
      </c>
      <c r="L5" s="31">
        <f>E5/J5</f>
        <v>2.4590163934426229E-2</v>
      </c>
      <c r="M5" s="31">
        <f>D5/J5</f>
        <v>4.9180327868852458E-2</v>
      </c>
      <c r="N5" s="30">
        <f>ROUND(IMDIV(F5,J5),2)</f>
        <v>0.55000000000000004</v>
      </c>
      <c r="O5" s="30">
        <f>ROUND(IMDIV(G5,J5),2)</f>
        <v>1.91</v>
      </c>
      <c r="P5" s="30">
        <f>ROUND(IMDIV(H5,J5),2)</f>
        <v>0.2</v>
      </c>
      <c r="Q5" s="30">
        <f>ROUND(IMDIV(B5,F5),2)</f>
        <v>0.75</v>
      </c>
      <c r="R5" s="30">
        <f>ROUND(IMDIV(C5,B5),4)*100</f>
        <v>36</v>
      </c>
      <c r="S5" s="30">
        <f>ROUND(IMDIV(I5,J5),2)</f>
        <v>45.66</v>
      </c>
      <c r="T5" s="29" t="s">
        <v>45</v>
      </c>
      <c r="U5" s="29" t="s">
        <v>24</v>
      </c>
      <c r="V5" s="45">
        <f>((K5/2.5)+(M5/4)+(L5/5)-(N5)+(S5/215)+(P5/20))+1</f>
        <v>0.85358520777735414</v>
      </c>
    </row>
    <row r="6" spans="1:22" x14ac:dyDescent="0.25">
      <c r="A6" s="36" t="s">
        <v>31</v>
      </c>
      <c r="B6" s="9">
        <v>111</v>
      </c>
      <c r="C6" s="9">
        <v>55</v>
      </c>
      <c r="D6" s="9">
        <v>29</v>
      </c>
      <c r="E6" s="9">
        <v>11</v>
      </c>
      <c r="F6" s="9">
        <v>81</v>
      </c>
      <c r="G6" s="9">
        <v>446</v>
      </c>
      <c r="H6" s="9">
        <v>37</v>
      </c>
      <c r="I6" s="9">
        <v>13070</v>
      </c>
      <c r="J6" s="9">
        <v>148</v>
      </c>
      <c r="K6" s="9">
        <f>ROUND(IMDIV(B6,J6),2)</f>
        <v>0.75</v>
      </c>
      <c r="L6" s="11">
        <f>E6/J6</f>
        <v>7.4324324324324328E-2</v>
      </c>
      <c r="M6" s="11">
        <f>D6/J6</f>
        <v>0.19594594594594594</v>
      </c>
      <c r="N6" s="9">
        <f>ROUND(IMDIV(F6,J6),2)</f>
        <v>0.55000000000000004</v>
      </c>
      <c r="O6" s="9">
        <f>ROUND(IMDIV(G6,J6),2)</f>
        <v>3.01</v>
      </c>
      <c r="P6" s="9">
        <f>ROUND(IMDIV(H6,J6),2)</f>
        <v>0.25</v>
      </c>
      <c r="Q6" s="9">
        <f>ROUND(IMDIV(B6,F6),2)</f>
        <v>1.37</v>
      </c>
      <c r="R6" s="9">
        <f>ROUND(IMDIV(C6,B6),4)*100</f>
        <v>49.55</v>
      </c>
      <c r="S6" s="9">
        <f>ROUND(IMDIV(I6,J6),2)</f>
        <v>88.31</v>
      </c>
      <c r="T6" s="9" t="s">
        <v>46</v>
      </c>
      <c r="U6" s="10" t="s">
        <v>24</v>
      </c>
      <c r="V6" s="45">
        <f>((K6/2.5)+(M6/4)+(L6/5)-(N6)+(S6/215)+(P6/20))+1</f>
        <v>1.2370955373978629</v>
      </c>
    </row>
    <row r="7" spans="1:22" x14ac:dyDescent="0.25">
      <c r="A7" s="36" t="s">
        <v>32</v>
      </c>
      <c r="B7" s="9">
        <v>82</v>
      </c>
      <c r="C7" s="9">
        <v>34</v>
      </c>
      <c r="D7" s="9">
        <v>16</v>
      </c>
      <c r="E7" s="9">
        <v>8</v>
      </c>
      <c r="F7" s="9">
        <v>88</v>
      </c>
      <c r="G7" s="9">
        <v>748</v>
      </c>
      <c r="H7" s="9">
        <v>21</v>
      </c>
      <c r="I7" s="9">
        <v>8723</v>
      </c>
      <c r="J7" s="9">
        <v>148</v>
      </c>
      <c r="K7" s="9">
        <f>ROUND(IMDIV(B7,J7),2)</f>
        <v>0.55000000000000004</v>
      </c>
      <c r="L7" s="11">
        <f>E7/J7</f>
        <v>5.4054054054054057E-2</v>
      </c>
      <c r="M7" s="11">
        <f>D7/J7</f>
        <v>0.10810810810810811</v>
      </c>
      <c r="N7" s="9">
        <f>ROUND(IMDIV(F7,J7),2)</f>
        <v>0.59</v>
      </c>
      <c r="O7" s="9">
        <f>ROUND(IMDIV(G7,J7),2)</f>
        <v>5.05</v>
      </c>
      <c r="P7" s="9">
        <f>ROUND(IMDIV(H7,J7),2)</f>
        <v>0.14000000000000001</v>
      </c>
      <c r="Q7" s="9">
        <f>ROUND(IMDIV(B7,F7),2)</f>
        <v>0.93</v>
      </c>
      <c r="R7" s="9">
        <f>ROUND(IMDIV(C7,B7),4)*100</f>
        <v>41.46</v>
      </c>
      <c r="S7" s="9">
        <f>ROUND(IMDIV(I7,J7),2)</f>
        <v>58.94</v>
      </c>
      <c r="T7" s="9" t="s">
        <v>46</v>
      </c>
      <c r="U7" s="10" t="s">
        <v>24</v>
      </c>
      <c r="V7" s="45">
        <f>((K7/2.5)+(M7/4)+(L7/5)-(N7)+(S7/215)+(P7/20))+1</f>
        <v>0.9489773727215588</v>
      </c>
    </row>
    <row r="8" spans="1:22" x14ac:dyDescent="0.25">
      <c r="A8" s="42" t="s">
        <v>37</v>
      </c>
      <c r="B8" s="26">
        <v>106</v>
      </c>
      <c r="C8" s="26">
        <v>57</v>
      </c>
      <c r="D8" s="26">
        <v>21</v>
      </c>
      <c r="E8" s="26">
        <v>17</v>
      </c>
      <c r="F8" s="26">
        <v>71</v>
      </c>
      <c r="G8" s="26">
        <v>300</v>
      </c>
      <c r="H8" s="26">
        <v>38</v>
      </c>
      <c r="I8" s="26">
        <v>11765</v>
      </c>
      <c r="J8" s="26">
        <v>136</v>
      </c>
      <c r="K8" s="27">
        <f>ROUND(IMDIV(B8,J8),2)</f>
        <v>0.78</v>
      </c>
      <c r="L8" s="28">
        <f>E8/J8</f>
        <v>0.125</v>
      </c>
      <c r="M8" s="28">
        <f>D8/J8</f>
        <v>0.15441176470588236</v>
      </c>
      <c r="N8" s="27">
        <f>ROUND(IMDIV(F8,J8),2)</f>
        <v>0.52</v>
      </c>
      <c r="O8" s="27">
        <f>ROUND(IMDIV(G8,J8),2)</f>
        <v>2.21</v>
      </c>
      <c r="P8" s="27">
        <f>ROUND(IMDIV(H8,J8),2)</f>
        <v>0.28000000000000003</v>
      </c>
      <c r="Q8" s="27">
        <f>ROUND(IMDIV(B8,F8),2)</f>
        <v>1.49</v>
      </c>
      <c r="R8" s="27">
        <f>ROUND(IMDIV(C8,B8),4)*100</f>
        <v>53.769999999999996</v>
      </c>
      <c r="S8" s="27">
        <f>ROUND(IMDIV(I8,J8),2)</f>
        <v>86.51</v>
      </c>
      <c r="T8" s="26" t="s">
        <v>46</v>
      </c>
      <c r="U8" s="26" t="s">
        <v>24</v>
      </c>
      <c r="V8" s="45">
        <f>((K8/2.5)+(M8/4)+(L8/5)-(N8)+(S8/215)+(P8/20))+1</f>
        <v>1.2719750341997265</v>
      </c>
    </row>
    <row r="9" spans="1:22" x14ac:dyDescent="0.25">
      <c r="A9" s="42" t="s">
        <v>38</v>
      </c>
      <c r="B9" s="26">
        <v>70</v>
      </c>
      <c r="C9" s="26">
        <v>28</v>
      </c>
      <c r="D9" s="26">
        <v>10</v>
      </c>
      <c r="E9" s="26">
        <v>2</v>
      </c>
      <c r="F9" s="26">
        <v>80</v>
      </c>
      <c r="G9" s="26">
        <v>347</v>
      </c>
      <c r="H9" s="26">
        <v>38</v>
      </c>
      <c r="I9" s="26">
        <v>7963</v>
      </c>
      <c r="J9" s="26">
        <v>125</v>
      </c>
      <c r="K9" s="27">
        <f>ROUND(IMDIV(B9,J9),2)</f>
        <v>0.56000000000000005</v>
      </c>
      <c r="L9" s="28">
        <f>E9/J9</f>
        <v>1.6E-2</v>
      </c>
      <c r="M9" s="28">
        <f>D9/J9</f>
        <v>0.08</v>
      </c>
      <c r="N9" s="27">
        <f>ROUND(IMDIV(F9,J9),2)</f>
        <v>0.64</v>
      </c>
      <c r="O9" s="27">
        <f>ROUND(IMDIV(G9,J9),2)</f>
        <v>2.78</v>
      </c>
      <c r="P9" s="27">
        <f>ROUND(IMDIV(H9,J9),2)</f>
        <v>0.3</v>
      </c>
      <c r="Q9" s="27">
        <f>ROUND(IMDIV(B9,F9),2)</f>
        <v>0.88</v>
      </c>
      <c r="R9" s="27">
        <f>ROUND(IMDIV(C9,B9),4)*100</f>
        <v>40</v>
      </c>
      <c r="S9" s="27">
        <f>ROUND(IMDIV(I9,J9),2)</f>
        <v>63.7</v>
      </c>
      <c r="T9" s="26" t="s">
        <v>46</v>
      </c>
      <c r="U9" s="26" t="s">
        <v>24</v>
      </c>
      <c r="V9" s="45">
        <f>((K9/2.5)+(M9/4)+(L9/5)-(N9)+(S9/215)+(P9/20))+1</f>
        <v>0.91847906976744187</v>
      </c>
    </row>
    <row r="10" spans="1:22" x14ac:dyDescent="0.25">
      <c r="A10" s="37" t="s">
        <v>29</v>
      </c>
      <c r="B10" s="12">
        <v>93</v>
      </c>
      <c r="C10" s="12">
        <v>42</v>
      </c>
      <c r="D10" s="12">
        <v>23</v>
      </c>
      <c r="E10" s="12">
        <v>6</v>
      </c>
      <c r="F10" s="12">
        <v>60</v>
      </c>
      <c r="G10" s="12">
        <v>382</v>
      </c>
      <c r="H10" s="12">
        <v>14</v>
      </c>
      <c r="I10" s="12">
        <v>11401</v>
      </c>
      <c r="J10" s="12">
        <v>116</v>
      </c>
      <c r="K10" s="12">
        <f>ROUND(IMDIV(B10,J10),2)</f>
        <v>0.8</v>
      </c>
      <c r="L10" s="13">
        <f>E10/J10</f>
        <v>5.1724137931034482E-2</v>
      </c>
      <c r="M10" s="13">
        <f>D10/J10</f>
        <v>0.19827586206896552</v>
      </c>
      <c r="N10" s="12">
        <f>ROUND(IMDIV(F10,J10),2)</f>
        <v>0.52</v>
      </c>
      <c r="O10" s="12">
        <f>ROUND(IMDIV(G10,J10),2)</f>
        <v>3.29</v>
      </c>
      <c r="P10" s="12">
        <f>ROUND(IMDIV(H10,J10),2)</f>
        <v>0.12</v>
      </c>
      <c r="Q10" s="12">
        <f>ROUND(IMDIV(B10,F10),2)</f>
        <v>1.55</v>
      </c>
      <c r="R10" s="12">
        <f>ROUND(IMDIV(C10,B10),4)*100</f>
        <v>45.16</v>
      </c>
      <c r="S10" s="12">
        <f>ROUND(IMDIV(I10,J10),2)</f>
        <v>98.28</v>
      </c>
      <c r="T10" s="51" t="s">
        <v>46</v>
      </c>
      <c r="U10" s="14" t="s">
        <v>24</v>
      </c>
      <c r="V10" s="45">
        <f>((K10/2.5)+(M10/4)+(L10/5)-(N10)+(S10/215)+(P10/20))+1</f>
        <v>1.3230300721732158</v>
      </c>
    </row>
    <row r="11" spans="1:22" x14ac:dyDescent="0.25">
      <c r="A11" s="37" t="s">
        <v>30</v>
      </c>
      <c r="B11" s="12">
        <v>60</v>
      </c>
      <c r="C11" s="12">
        <v>33</v>
      </c>
      <c r="D11" s="12">
        <v>9</v>
      </c>
      <c r="E11" s="12">
        <v>3</v>
      </c>
      <c r="F11" s="12">
        <v>66</v>
      </c>
      <c r="G11" s="12">
        <v>145</v>
      </c>
      <c r="H11" s="12">
        <v>18</v>
      </c>
      <c r="I11" s="12">
        <v>6173</v>
      </c>
      <c r="J11" s="12">
        <v>116</v>
      </c>
      <c r="K11" s="12">
        <f>ROUND(IMDIV(B11,J11),2)</f>
        <v>0.52</v>
      </c>
      <c r="L11" s="13">
        <f>E11/J11</f>
        <v>2.5862068965517241E-2</v>
      </c>
      <c r="M11" s="13">
        <f>D11/J11</f>
        <v>7.7586206896551727E-2</v>
      </c>
      <c r="N11" s="12">
        <f>ROUND(IMDIV(F11,J11),2)</f>
        <v>0.56999999999999995</v>
      </c>
      <c r="O11" s="12">
        <f>ROUND(IMDIV(G11,J11),2)</f>
        <v>1.25</v>
      </c>
      <c r="P11" s="12">
        <f>ROUND(IMDIV(H11,J11),2)</f>
        <v>0.16</v>
      </c>
      <c r="Q11" s="12">
        <f>ROUND(IMDIV(B11,F11),2)</f>
        <v>0.91</v>
      </c>
      <c r="R11" s="12">
        <f>ROUND(IMDIV(C11,B11),4)*100</f>
        <v>55.000000000000007</v>
      </c>
      <c r="S11" s="12">
        <f>ROUND(IMDIV(I11,J11),2)</f>
        <v>53.22</v>
      </c>
      <c r="T11" s="51" t="s">
        <v>46</v>
      </c>
      <c r="U11" s="14" t="s">
        <v>24</v>
      </c>
      <c r="V11" s="45">
        <f>((K11/2.5)+(M11/4)+(L11/5)-(N11)+(S11/215)+(P11/20))+1</f>
        <v>0.91810384923817168</v>
      </c>
    </row>
    <row r="12" spans="1:22" x14ac:dyDescent="0.25">
      <c r="A12" s="40" t="s">
        <v>34</v>
      </c>
      <c r="B12" s="50">
        <v>92</v>
      </c>
      <c r="C12" s="50">
        <v>60</v>
      </c>
      <c r="D12" s="50">
        <v>27</v>
      </c>
      <c r="E12" s="50">
        <v>9</v>
      </c>
      <c r="F12" s="50">
        <v>79</v>
      </c>
      <c r="G12" s="50">
        <v>717</v>
      </c>
      <c r="H12" s="50">
        <v>30</v>
      </c>
      <c r="I12" s="50">
        <v>10649</v>
      </c>
      <c r="J12" s="50">
        <v>137</v>
      </c>
      <c r="K12" s="20">
        <f>ROUND(IMDIV(B12,J12),2)</f>
        <v>0.67</v>
      </c>
      <c r="L12" s="21">
        <f>E12/J12</f>
        <v>6.569343065693431E-2</v>
      </c>
      <c r="M12" s="21">
        <f>D12/J12</f>
        <v>0.19708029197080293</v>
      </c>
      <c r="N12" s="20">
        <f>ROUND(IMDIV(F12,J12),2)</f>
        <v>0.57999999999999996</v>
      </c>
      <c r="O12" s="20">
        <f>ROUND(IMDIV(G12,J12),2)</f>
        <v>5.23</v>
      </c>
      <c r="P12" s="20">
        <f>ROUND(IMDIV(H12,J12),2)</f>
        <v>0.22</v>
      </c>
      <c r="Q12" s="20">
        <f>ROUND(IMDIV(B12,F12),2)</f>
        <v>1.1599999999999999</v>
      </c>
      <c r="R12" s="20">
        <f>ROUND(IMDIV(C12,B12),4)*100</f>
        <v>65.22</v>
      </c>
      <c r="S12" s="20">
        <f>ROUND(IMDIV(I12,J12),2)</f>
        <v>77.73</v>
      </c>
      <c r="T12" s="20" t="s">
        <v>46</v>
      </c>
      <c r="U12" s="22" t="s">
        <v>24</v>
      </c>
      <c r="V12" s="45">
        <f>((K12/2.5)+(M12/4)+(L12/5)-(N12)+(S12/215)+(P12/20))+1</f>
        <v>1.1229436428450179</v>
      </c>
    </row>
    <row r="13" spans="1:22" x14ac:dyDescent="0.25">
      <c r="A13" s="40" t="s">
        <v>35</v>
      </c>
      <c r="B13" s="50">
        <v>76</v>
      </c>
      <c r="C13" s="50">
        <v>35</v>
      </c>
      <c r="D13" s="50">
        <v>22</v>
      </c>
      <c r="E13" s="50">
        <v>7</v>
      </c>
      <c r="F13" s="50">
        <v>83</v>
      </c>
      <c r="G13" s="50">
        <v>275</v>
      </c>
      <c r="H13" s="50">
        <v>37</v>
      </c>
      <c r="I13" s="50">
        <v>8448</v>
      </c>
      <c r="J13" s="50">
        <v>137</v>
      </c>
      <c r="K13" s="20">
        <f>ROUND(IMDIV(B13,J13),2)</f>
        <v>0.55000000000000004</v>
      </c>
      <c r="L13" s="21">
        <f>E13/J13</f>
        <v>5.1094890510948905E-2</v>
      </c>
      <c r="M13" s="21">
        <f>D13/J13</f>
        <v>0.16058394160583941</v>
      </c>
      <c r="N13" s="20">
        <f>ROUND(IMDIV(F13,J13),2)</f>
        <v>0.61</v>
      </c>
      <c r="O13" s="20">
        <f>ROUND(IMDIV(G13,J13),2)</f>
        <v>2.0099999999999998</v>
      </c>
      <c r="P13" s="20">
        <f>ROUND(IMDIV(H13,J13),2)</f>
        <v>0.27</v>
      </c>
      <c r="Q13" s="20">
        <f>ROUND(IMDIV(B13,F13),2)</f>
        <v>0.92</v>
      </c>
      <c r="R13" s="20">
        <f>ROUND(IMDIV(C13,B13),4)*100</f>
        <v>46.050000000000004</v>
      </c>
      <c r="S13" s="20">
        <f>ROUND(IMDIV(I13,J13),2)</f>
        <v>61.66</v>
      </c>
      <c r="T13" s="20" t="s">
        <v>46</v>
      </c>
      <c r="U13" s="22" t="s">
        <v>24</v>
      </c>
      <c r="V13" s="45">
        <f>((K13/2.5)+(M13/4)+(L13/5)-(N13)+(S13/215)+(P13/20))+1</f>
        <v>0.96065566117806833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>ROUND(IMDIV(B14,J14),2)</f>
        <v>0.53</v>
      </c>
      <c r="L14" s="34">
        <f>E14/J14</f>
        <v>2.3529411764705882E-2</v>
      </c>
      <c r="M14" s="34">
        <f>D14/J14</f>
        <v>0.15294117647058825</v>
      </c>
      <c r="N14" s="33">
        <f>ROUND(IMDIV(F14,J14),2)</f>
        <v>0.68</v>
      </c>
      <c r="O14" s="33">
        <f>ROUND(IMDIV(G14,J14),2)</f>
        <v>3.04</v>
      </c>
      <c r="P14" s="33">
        <f>ROUND(IMDIV(H14,J14),2)</f>
        <v>0.2</v>
      </c>
      <c r="Q14" s="33">
        <f>ROUND(IMDIV(B14,F14),2)</f>
        <v>0.78</v>
      </c>
      <c r="R14" s="33">
        <f>ROUND(IMDIV(C14,B14),4)*100</f>
        <v>35.56</v>
      </c>
      <c r="S14" s="33">
        <f>ROUND(IMDIV(I14,J14),2)</f>
        <v>72.89</v>
      </c>
      <c r="T14" s="32" t="s">
        <v>47</v>
      </c>
      <c r="U14" s="32" t="s">
        <v>24</v>
      </c>
      <c r="V14" s="45">
        <f>((K14/2.5)+(M14/4)+(L14/5)-(N14)+(S14/215)+(P14/20))+1</f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>ROUND(IMDIV(B15,J15),2)</f>
        <v>0.44</v>
      </c>
      <c r="L15" s="34">
        <f>E15/J15</f>
        <v>3.5294117647058823E-2</v>
      </c>
      <c r="M15" s="34">
        <f>D15/J15</f>
        <v>9.4117647058823528E-2</v>
      </c>
      <c r="N15" s="33">
        <f>ROUND(IMDIV(F15,J15),2)</f>
        <v>0.69</v>
      </c>
      <c r="O15" s="33">
        <f>ROUND(IMDIV(G15,J15),2)</f>
        <v>2.98</v>
      </c>
      <c r="P15" s="33">
        <f>ROUND(IMDIV(H15,J15),2)</f>
        <v>7.0000000000000007E-2</v>
      </c>
      <c r="Q15" s="33">
        <f>ROUND(IMDIV(B15,F15),2)</f>
        <v>0.63</v>
      </c>
      <c r="R15" s="33">
        <f>ROUND(IMDIV(C15,B15),4)*100</f>
        <v>45.95</v>
      </c>
      <c r="S15" s="33">
        <f>ROUND(IMDIV(I15,J15),2)</f>
        <v>47.35</v>
      </c>
      <c r="T15" s="32" t="s">
        <v>47</v>
      </c>
      <c r="U15" s="32" t="s">
        <v>24</v>
      </c>
      <c r="V15" s="45">
        <f>((K15/2.5)+(M15/4)+(L15/5)-(N15)+(S15/215)+(P15/20))+1</f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>ROUND(IMDIV(B16,J16),2)</f>
        <v>0.56000000000000005</v>
      </c>
      <c r="L16" s="19">
        <f>E16/J16</f>
        <v>2.5210084033613446E-2</v>
      </c>
      <c r="M16" s="19">
        <f>D16/J16</f>
        <v>0.11764705882352941</v>
      </c>
      <c r="N16" s="18">
        <f>ROUND(IMDIV(F16,J16),2)</f>
        <v>0.65</v>
      </c>
      <c r="O16" s="18">
        <f>ROUND(IMDIV(G16,J16),2)</f>
        <v>3.08</v>
      </c>
      <c r="P16" s="18">
        <f>ROUND(IMDIV(H16,J16),2)</f>
        <v>0.11</v>
      </c>
      <c r="Q16" s="18">
        <f>ROUND(IMDIV(B16,F16),2)</f>
        <v>0.87</v>
      </c>
      <c r="R16" s="18">
        <f>ROUND(IMDIV(C16,B16),4)*100</f>
        <v>52.239999999999995</v>
      </c>
      <c r="S16" s="18">
        <f>ROUND(IMDIV(I16,J16),2)</f>
        <v>70.7</v>
      </c>
      <c r="T16" s="18" t="s">
        <v>47</v>
      </c>
      <c r="U16" s="18" t="s">
        <v>24</v>
      </c>
      <c r="V16" s="45">
        <f>((K16/2.5)+(M16/4)+(L16/5)-(N16)+(S16/215)+(P16/20))+1</f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>ROUND(IMDIV(B17,J17),2)</f>
        <v>0.46</v>
      </c>
      <c r="L17" s="19">
        <f>E17/J17</f>
        <v>1.680672268907563E-2</v>
      </c>
      <c r="M17" s="19">
        <f>D17/J17</f>
        <v>8.4033613445378158E-2</v>
      </c>
      <c r="N17" s="18">
        <f>ROUND(IMDIV(F17,J17),2)</f>
        <v>0.66</v>
      </c>
      <c r="O17" s="18">
        <f>ROUND(IMDIV(G17,J17),2)</f>
        <v>1.49</v>
      </c>
      <c r="P17" s="18">
        <f>ROUND(IMDIV(H17,J17),2)</f>
        <v>0.13</v>
      </c>
      <c r="Q17" s="18">
        <f>ROUND(IMDIV(B17,F17),2)</f>
        <v>0.71</v>
      </c>
      <c r="R17" s="18">
        <f>ROUND(IMDIV(C17,B17),4)*100</f>
        <v>38.18</v>
      </c>
      <c r="S17" s="18">
        <f>ROUND(IMDIV(I17,J17),2)</f>
        <v>56.19</v>
      </c>
      <c r="T17" s="18" t="s">
        <v>47</v>
      </c>
      <c r="U17" s="18" t="s">
        <v>24</v>
      </c>
      <c r="V17" s="45">
        <f>((K17/2.5)+(M17/4)+(L17/5)-(N17)+(S17/215)+(P17/20))+1</f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>ROUND(IMDIV(B18,J18),2)</f>
        <v>0.6</v>
      </c>
      <c r="L18" s="25">
        <f>E18/J18</f>
        <v>2.0408163265306121E-2</v>
      </c>
      <c r="M18" s="25">
        <f>D18/J18</f>
        <v>0.18367346938775511</v>
      </c>
      <c r="N18" s="24">
        <f>ROUND(IMDIV(F18,J18),2)</f>
        <v>0.72</v>
      </c>
      <c r="O18" s="24">
        <f>ROUND(IMDIV(G18,J18),2)</f>
        <v>3.39</v>
      </c>
      <c r="P18" s="24">
        <f>ROUND(IMDIV(H18,J18),2)</f>
        <v>0.14000000000000001</v>
      </c>
      <c r="Q18" s="24">
        <f>ROUND(IMDIV(B18,F18),2)</f>
        <v>0.83</v>
      </c>
      <c r="R18" s="24">
        <f>ROUND(IMDIV(C18,B18),4)*100</f>
        <v>61.019999999999996</v>
      </c>
      <c r="S18" s="24">
        <f>ROUND(IMDIV(I18,J18),2)</f>
        <v>80.88</v>
      </c>
      <c r="T18" s="24" t="s">
        <v>47</v>
      </c>
      <c r="U18" s="24" t="s">
        <v>24</v>
      </c>
      <c r="V18" s="45">
        <f>((K18/2.5)+(M18/4)+(L18/5)-(N18)+(S18/215)+(P18/20))+1</f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>ROUND(IMDIV(B19,J19),2)</f>
        <v>0.35</v>
      </c>
      <c r="L19" s="25">
        <f>E19/J19</f>
        <v>2.4390243902439025E-2</v>
      </c>
      <c r="M19" s="25">
        <f>D19/J19</f>
        <v>7.3170731707317069E-2</v>
      </c>
      <c r="N19" s="24">
        <f>ROUND(IMDIV(F19,J19),2)</f>
        <v>0.71</v>
      </c>
      <c r="O19" s="24">
        <f>ROUND(IMDIV(G19,J19),2)</f>
        <v>1.38</v>
      </c>
      <c r="P19" s="24">
        <f>ROUND(IMDIV(H19,J19),2)</f>
        <v>0.11</v>
      </c>
      <c r="Q19" s="24">
        <f>ROUND(IMDIV(B19,F19),2)</f>
        <v>0.5</v>
      </c>
      <c r="R19" s="24">
        <f>ROUND(IMDIV(C19,B19),4)*100</f>
        <v>48.28</v>
      </c>
      <c r="S19" s="24">
        <f>ROUND(IMDIV(I19,J19),2)</f>
        <v>43.57</v>
      </c>
      <c r="T19" s="24" t="s">
        <v>47</v>
      </c>
      <c r="U19" s="24" t="s">
        <v>24</v>
      </c>
      <c r="V19" s="45">
        <f>((K19/2.5)+(M19/4)+(L19/5)-(N19)+(S19/215)+(P19/20))+1</f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>ROUND(IMDIV(B20,J20),2)</f>
        <v>0.62</v>
      </c>
      <c r="L20" s="17">
        <f>E20/J20</f>
        <v>3.5714285714285712E-2</v>
      </c>
      <c r="M20" s="17">
        <f>D20/J20</f>
        <v>0.11607142857142858</v>
      </c>
      <c r="N20" s="15">
        <f>ROUND(IMDIV(F20,J20),2)</f>
        <v>0.65</v>
      </c>
      <c r="O20" s="15">
        <f>ROUND(IMDIV(G20,J20),2)</f>
        <v>1.5</v>
      </c>
      <c r="P20" s="15">
        <f>ROUND(IMDIV(H20,J20),2)</f>
        <v>0.25</v>
      </c>
      <c r="Q20" s="15">
        <f>ROUND(IMDIV(B20,F20),2)</f>
        <v>0.95</v>
      </c>
      <c r="R20" s="15">
        <f>ROUND(IMDIV(C20,B20),4)*100</f>
        <v>66.67</v>
      </c>
      <c r="S20" s="15">
        <f>ROUND(IMDIV(I20,J20),2)</f>
        <v>70.709999999999994</v>
      </c>
      <c r="T20" s="16" t="s">
        <v>47</v>
      </c>
      <c r="U20" s="16" t="s">
        <v>24</v>
      </c>
      <c r="V20" s="45">
        <f>((K20/2.5)+(M20/4)+(L20/5)-(N20)+(S20/215)+(P20/20))+1</f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>ROUND(IMDIV(B21,J21),2)</f>
        <v>0.46</v>
      </c>
      <c r="L21" s="17">
        <f>E21/J21</f>
        <v>9.9009900990099011E-3</v>
      </c>
      <c r="M21" s="17">
        <f>D21/J21</f>
        <v>6.9306930693069313E-2</v>
      </c>
      <c r="N21" s="15">
        <f>ROUND(IMDIV(F21,J21),2)</f>
        <v>0.71</v>
      </c>
      <c r="O21" s="15">
        <f>ROUND(IMDIV(G21,J21),2)</f>
        <v>1.58</v>
      </c>
      <c r="P21" s="15">
        <f>ROUND(IMDIV(H21,J21),2)</f>
        <v>0.15</v>
      </c>
      <c r="Q21" s="15">
        <f>ROUND(IMDIV(B21,F21),2)</f>
        <v>0.64</v>
      </c>
      <c r="R21" s="15">
        <f>ROUND(IMDIV(C21,B21),4)*100</f>
        <v>47.83</v>
      </c>
      <c r="S21" s="15">
        <f>ROUND(IMDIV(I21,J21),2)</f>
        <v>51.29</v>
      </c>
      <c r="T21" s="16" t="s">
        <v>47</v>
      </c>
      <c r="U21" s="16" t="s">
        <v>24</v>
      </c>
      <c r="V21" s="45">
        <f>((K21/2.5)+(M21/4)+(L21/5)-(N21)+(S21/215)+(P21/20))+1</f>
        <v>0.73936507022795306</v>
      </c>
    </row>
    <row r="22" spans="1:22" x14ac:dyDescent="0.2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>ROUND(IMDIV(B22,J22),2)</f>
        <v>0.19</v>
      </c>
      <c r="L22" s="49">
        <f>E22/J22</f>
        <v>6.25E-2</v>
      </c>
      <c r="M22" s="49">
        <f>D22/J22</f>
        <v>6.25E-2</v>
      </c>
      <c r="N22" s="48">
        <f>ROUND(IMDIV(F22,J22),2)</f>
        <v>0.75</v>
      </c>
      <c r="O22" s="48">
        <f>ROUND(IMDIV(G22,J22),2)</f>
        <v>2.69</v>
      </c>
      <c r="P22" s="48">
        <f>ROUND(IMDIV(H22,J22),2)</f>
        <v>0</v>
      </c>
      <c r="Q22" s="48">
        <f>ROUND(IMDIV(B22,F22),2)</f>
        <v>0.25</v>
      </c>
      <c r="R22" s="48">
        <f>ROUND(IMDIV(C22,B22),4)*100</f>
        <v>66.67</v>
      </c>
      <c r="S22" s="48">
        <f>ROUND(IMDIV(I22,J22),2)</f>
        <v>27</v>
      </c>
      <c r="T22" s="47" t="s">
        <v>44</v>
      </c>
      <c r="U22" s="47" t="s">
        <v>24</v>
      </c>
      <c r="V22" s="45">
        <f>((K22/2.5)+(M22/4)+(L22/5)-(N22)+(S22/215)+(P22/20))+1</f>
        <v>0.47970639534883719</v>
      </c>
    </row>
  </sheetData>
  <sortState xmlns:xlrd2="http://schemas.microsoft.com/office/spreadsheetml/2017/richdata2" ref="A2:V22">
    <sortCondition sortBy="cellColor" ref="A22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2026-04-07T14:07:54Z</dcterms:modified>
</cp:coreProperties>
</file>