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7CAAC03C-F769-43A5-B738-AE2E2A2A4A9C}" xr6:coauthVersionLast="47" xr6:coauthVersionMax="47" xr10:uidLastSave="{00000000-0000-0000-0000-000000000000}"/>
  <bookViews>
    <workbookView xWindow="-110" yWindow="-110" windowWidth="19420" windowHeight="10300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" l="1"/>
  <c r="S15" i="1" l="1"/>
  <c r="R15" i="1"/>
  <c r="Q15" i="1"/>
  <c r="P15" i="1"/>
  <c r="O15" i="1"/>
  <c r="N15" i="1"/>
  <c r="M15" i="1"/>
  <c r="L15" i="1"/>
  <c r="K15" i="1"/>
  <c r="S14" i="1"/>
  <c r="R14" i="1"/>
  <c r="Q14" i="1"/>
  <c r="P14" i="1"/>
  <c r="O14" i="1"/>
  <c r="N14" i="1"/>
  <c r="M14" i="1"/>
  <c r="L14" i="1"/>
  <c r="K14" i="1"/>
  <c r="S5" i="1"/>
  <c r="R5" i="1"/>
  <c r="Q5" i="1"/>
  <c r="P5" i="1"/>
  <c r="O5" i="1"/>
  <c r="N5" i="1"/>
  <c r="M5" i="1"/>
  <c r="L5" i="1"/>
  <c r="K5" i="1"/>
  <c r="S4" i="1"/>
  <c r="R4" i="1"/>
  <c r="Q4" i="1"/>
  <c r="P4" i="1"/>
  <c r="O4" i="1"/>
  <c r="N4" i="1"/>
  <c r="M4" i="1"/>
  <c r="L4" i="1"/>
  <c r="K4" i="1"/>
  <c r="S11" i="1"/>
  <c r="R11" i="1"/>
  <c r="Q11" i="1"/>
  <c r="P11" i="1"/>
  <c r="O11" i="1"/>
  <c r="N11" i="1"/>
  <c r="M11" i="1"/>
  <c r="L11" i="1"/>
  <c r="K11" i="1"/>
  <c r="S10" i="1"/>
  <c r="R10" i="1"/>
  <c r="Q10" i="1"/>
  <c r="P10" i="1"/>
  <c r="O10" i="1"/>
  <c r="N10" i="1"/>
  <c r="M10" i="1"/>
  <c r="K10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8" i="1"/>
  <c r="L8" i="1"/>
  <c r="M8" i="1"/>
  <c r="N8" i="1"/>
  <c r="O8" i="1"/>
  <c r="P8" i="1"/>
  <c r="Q8" i="1"/>
  <c r="K9" i="1"/>
  <c r="L9" i="1"/>
  <c r="M9" i="1"/>
  <c r="N9" i="1"/>
  <c r="O9" i="1"/>
  <c r="P9" i="1"/>
  <c r="Q9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9" i="1"/>
  <c r="R9" i="1"/>
  <c r="S8" i="1"/>
  <c r="R8" i="1"/>
  <c r="S7" i="1"/>
  <c r="R7" i="1"/>
  <c r="S6" i="1"/>
  <c r="R6" i="1"/>
  <c r="S3" i="1"/>
  <c r="R3" i="1"/>
  <c r="S2" i="1"/>
  <c r="R2" i="1"/>
  <c r="V4" i="1" l="1"/>
  <c r="V7" i="1"/>
  <c r="V15" i="1"/>
  <c r="V11" i="1"/>
  <c r="V9" i="1"/>
  <c r="V12" i="1"/>
  <c r="V5" i="1"/>
  <c r="V14" i="1"/>
  <c r="V10" i="1"/>
  <c r="V17" i="1"/>
  <c r="V6" i="1"/>
  <c r="V2" i="1"/>
  <c r="V21" i="1"/>
  <c r="V13" i="1"/>
  <c r="V20" i="1"/>
  <c r="V18" i="1"/>
  <c r="V16" i="1"/>
  <c r="V19" i="1"/>
  <c r="V8" i="1"/>
  <c r="V3" i="1"/>
</calcChain>
</file>

<file path=xl/sharedStrings.xml><?xml version="1.0" encoding="utf-8"?>
<sst xmlns="http://schemas.openxmlformats.org/spreadsheetml/2006/main" count="82" uniqueCount="44">
  <si>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</si>
  <si>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</si>
  <si>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</si>
  <si>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</si>
  <si>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</si>
  <si>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</si>
  <si>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</si>
  <si>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</si>
  <si>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</si>
  <si>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</si>
  <si>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</si>
  <si>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</si>
  <si>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</si>
  <si>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</si>
  <si>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</si>
  <si>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</si>
  <si>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</si>
  <si>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</si>
  <si>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</si>
  <si>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</si>
  <si>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</si>
  <si>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PadRating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</si>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</sst>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2" fontId="5" fillId="3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16" fontId="5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1"/>
  <sheetViews>
    <sheetView showGridLines="0" tabSelected="1" zoomScale="78" zoomScaleNormal="100" workbookViewId="0">
      <selection activeCell="Q23" sqref="Q23"/>
    </sheetView>
  </sheetViews>
  <sheetFormatPr defaultRowHeight="14.5" x14ac:dyDescent="0.35"/>
  <cols>
    <col min="1" max="1" width="12.1796875" bestFit="1" customWidth="1"/>
    <col min="20" max="20" width="10.26953125" bestFit="1" customWidth="1"/>
    <col min="22" max="22" width="10" bestFit="1" customWidth="1"/>
  </cols>
  <sheetData>
    <row r="1" spans="1:22" x14ac:dyDescent="0.3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5" t="s">
        <v>10</v>
      </c>
      <c r="L1" s="6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6" t="s">
        <v>21</v>
      </c>
    </row>
    <row r="2" spans="1:22" x14ac:dyDescent="0.35">
      <c r="A2" s="38" t="s">
        <v>29</v>
      </c>
      <c r="B2" s="7">
        <v>44</v>
      </c>
      <c r="C2" s="7">
        <v>29</v>
      </c>
      <c r="D2" s="7">
        <v>12</v>
      </c>
      <c r="E2" s="7">
        <v>3</v>
      </c>
      <c r="F2" s="7">
        <v>17</v>
      </c>
      <c r="G2" s="7">
        <v>435</v>
      </c>
      <c r="H2" s="7">
        <v>17</v>
      </c>
      <c r="I2" s="7">
        <v>4686</v>
      </c>
      <c r="J2" s="7">
        <v>44</v>
      </c>
      <c r="K2" s="7">
        <f t="shared" ref="K2:K21" si="0">ROUND(IMDIV(B2,J2),2)</f>
        <v>1</v>
      </c>
      <c r="L2" s="8">
        <f t="shared" ref="L2:L21" si="1">E2/J2</f>
        <v>6.8181818181818177E-2</v>
      </c>
      <c r="M2" s="8">
        <f t="shared" ref="M2:M21" si="2">D2/J2</f>
        <v>0.27272727272727271</v>
      </c>
      <c r="N2" s="7">
        <f t="shared" ref="N2:N21" si="3">ROUND(IMDIV(F2,J2),2)</f>
        <v>0.39</v>
      </c>
      <c r="O2" s="7">
        <f t="shared" ref="O2:O21" si="4">ROUND(IMDIV(G2,J2),2)</f>
        <v>9.89</v>
      </c>
      <c r="P2" s="7">
        <f t="shared" ref="P2:P21" si="5">ROUND(IMDIV(H2,J2),2)</f>
        <v>0.39</v>
      </c>
      <c r="Q2" s="7">
        <f t="shared" ref="Q2:Q21" si="6">ROUND(IMDIV(B2,F2),2)</f>
        <v>2.59</v>
      </c>
      <c r="R2" s="7">
        <f t="shared" ref="R2:R21" si="7">ROUND(IMDIV(C2,B2),4)*100</f>
        <v>65.91</v>
      </c>
      <c r="S2" s="7">
        <f t="shared" ref="S2:S21" si="8">ROUND(IMDIV(I2,J2),2)</f>
        <v>106.5</v>
      </c>
      <c r="T2" s="9" t="s">
        <v>43</v>
      </c>
      <c r="U2" s="9" t="s">
        <v>25</v>
      </c>
      <c r="V2" s="1">
        <f t="shared" ref="V2:V21" si="9">((K2/2)+(M2/4)+(L2/5)-(N2)+(S2/215)+(P2/20))+1</f>
        <v>1.706667019027484</v>
      </c>
    </row>
    <row r="3" spans="1:22" x14ac:dyDescent="0.35">
      <c r="A3" s="38" t="s">
        <v>28</v>
      </c>
      <c r="B3" s="7">
        <v>22</v>
      </c>
      <c r="C3" s="7">
        <v>15</v>
      </c>
      <c r="D3" s="7">
        <v>3</v>
      </c>
      <c r="E3" s="7">
        <v>0</v>
      </c>
      <c r="F3" s="7">
        <v>23</v>
      </c>
      <c r="G3" s="7">
        <v>1</v>
      </c>
      <c r="H3" s="7">
        <v>6</v>
      </c>
      <c r="I3" s="7">
        <v>2267</v>
      </c>
      <c r="J3" s="7">
        <v>44</v>
      </c>
      <c r="K3" s="7">
        <f t="shared" si="0"/>
        <v>0.5</v>
      </c>
      <c r="L3" s="8">
        <f t="shared" si="1"/>
        <v>0</v>
      </c>
      <c r="M3" s="8">
        <f t="shared" si="2"/>
        <v>6.8181818181818177E-2</v>
      </c>
      <c r="N3" s="7">
        <f t="shared" si="3"/>
        <v>0.52</v>
      </c>
      <c r="O3" s="7">
        <f t="shared" si="4"/>
        <v>0.02</v>
      </c>
      <c r="P3" s="7">
        <f t="shared" si="5"/>
        <v>0.14000000000000001</v>
      </c>
      <c r="Q3" s="7">
        <f t="shared" si="6"/>
        <v>0.96</v>
      </c>
      <c r="R3" s="7">
        <f t="shared" si="7"/>
        <v>68.179999999999993</v>
      </c>
      <c r="S3" s="7">
        <f t="shared" si="8"/>
        <v>51.52</v>
      </c>
      <c r="T3" s="9" t="s">
        <v>43</v>
      </c>
      <c r="U3" s="9" t="s">
        <v>25</v>
      </c>
      <c r="V3" s="1">
        <f t="shared" si="9"/>
        <v>0.99367336152219865</v>
      </c>
    </row>
    <row r="4" spans="1:22" x14ac:dyDescent="0.35">
      <c r="A4" s="46" t="s">
        <v>40</v>
      </c>
      <c r="B4" s="32">
        <v>42</v>
      </c>
      <c r="C4" s="32">
        <v>27</v>
      </c>
      <c r="D4" s="32">
        <v>14</v>
      </c>
      <c r="E4" s="32">
        <v>4</v>
      </c>
      <c r="F4" s="32">
        <v>20</v>
      </c>
      <c r="G4" s="32">
        <v>499</v>
      </c>
      <c r="H4" s="32">
        <v>10</v>
      </c>
      <c r="I4" s="32">
        <v>4767</v>
      </c>
      <c r="J4" s="32">
        <v>45</v>
      </c>
      <c r="K4" s="33">
        <f t="shared" si="0"/>
        <v>0.93</v>
      </c>
      <c r="L4" s="34">
        <f t="shared" si="1"/>
        <v>8.8888888888888892E-2</v>
      </c>
      <c r="M4" s="34">
        <f t="shared" si="2"/>
        <v>0.31111111111111112</v>
      </c>
      <c r="N4" s="33">
        <f t="shared" si="3"/>
        <v>0.44</v>
      </c>
      <c r="O4" s="33">
        <f t="shared" si="4"/>
        <v>11.09</v>
      </c>
      <c r="P4" s="33">
        <f t="shared" si="5"/>
        <v>0.22</v>
      </c>
      <c r="Q4" s="33">
        <f t="shared" si="6"/>
        <v>2.1</v>
      </c>
      <c r="R4" s="33">
        <f t="shared" si="7"/>
        <v>64.290000000000006</v>
      </c>
      <c r="S4" s="33">
        <f t="shared" si="8"/>
        <v>105.93</v>
      </c>
      <c r="T4" s="32" t="s">
        <v>43</v>
      </c>
      <c r="U4" s="32" t="s">
        <v>25</v>
      </c>
      <c r="V4" s="1">
        <f t="shared" si="9"/>
        <v>1.6242532299741601</v>
      </c>
    </row>
    <row r="5" spans="1:22" x14ac:dyDescent="0.35">
      <c r="A5" s="46" t="s">
        <v>41</v>
      </c>
      <c r="B5" s="32">
        <v>20</v>
      </c>
      <c r="C5" s="32">
        <v>8</v>
      </c>
      <c r="D5" s="32">
        <v>2</v>
      </c>
      <c r="E5" s="32">
        <v>0</v>
      </c>
      <c r="F5" s="32">
        <v>26</v>
      </c>
      <c r="G5" s="32">
        <v>89</v>
      </c>
      <c r="H5" s="32">
        <v>10</v>
      </c>
      <c r="I5" s="32">
        <v>2140</v>
      </c>
      <c r="J5" s="32">
        <v>45</v>
      </c>
      <c r="K5" s="33">
        <f t="shared" si="0"/>
        <v>0.44</v>
      </c>
      <c r="L5" s="34">
        <f t="shared" si="1"/>
        <v>0</v>
      </c>
      <c r="M5" s="34">
        <f t="shared" si="2"/>
        <v>4.4444444444444446E-2</v>
      </c>
      <c r="N5" s="33">
        <f t="shared" si="3"/>
        <v>0.57999999999999996</v>
      </c>
      <c r="O5" s="33">
        <f t="shared" si="4"/>
        <v>1.98</v>
      </c>
      <c r="P5" s="33">
        <f t="shared" si="5"/>
        <v>0.22</v>
      </c>
      <c r="Q5" s="33">
        <f t="shared" si="6"/>
        <v>0.77</v>
      </c>
      <c r="R5" s="33">
        <f t="shared" si="7"/>
        <v>40</v>
      </c>
      <c r="S5" s="33">
        <f t="shared" si="8"/>
        <v>47.56</v>
      </c>
      <c r="T5" s="32" t="s">
        <v>43</v>
      </c>
      <c r="U5" s="32" t="s">
        <v>25</v>
      </c>
      <c r="V5" s="1">
        <f t="shared" si="9"/>
        <v>0.88332041343669254</v>
      </c>
    </row>
    <row r="6" spans="1:22" x14ac:dyDescent="0.35">
      <c r="A6" s="39" t="s">
        <v>32</v>
      </c>
      <c r="B6" s="10">
        <v>50</v>
      </c>
      <c r="C6" s="10">
        <v>27</v>
      </c>
      <c r="D6" s="10">
        <v>10</v>
      </c>
      <c r="E6" s="11">
        <v>4</v>
      </c>
      <c r="F6" s="11">
        <v>32</v>
      </c>
      <c r="G6" s="11">
        <v>164</v>
      </c>
      <c r="H6" s="11">
        <v>27</v>
      </c>
      <c r="I6" s="11">
        <v>5747</v>
      </c>
      <c r="J6" s="11">
        <v>64</v>
      </c>
      <c r="K6" s="10">
        <f t="shared" si="0"/>
        <v>0.78</v>
      </c>
      <c r="L6" s="12">
        <f t="shared" si="1"/>
        <v>6.25E-2</v>
      </c>
      <c r="M6" s="12">
        <f t="shared" si="2"/>
        <v>0.15625</v>
      </c>
      <c r="N6" s="10">
        <f t="shared" si="3"/>
        <v>0.5</v>
      </c>
      <c r="O6" s="10">
        <f t="shared" si="4"/>
        <v>2.56</v>
      </c>
      <c r="P6" s="10">
        <f t="shared" si="5"/>
        <v>0.42</v>
      </c>
      <c r="Q6" s="10">
        <f t="shared" si="6"/>
        <v>1.56</v>
      </c>
      <c r="R6" s="10">
        <f t="shared" si="7"/>
        <v>54</v>
      </c>
      <c r="S6" s="10">
        <f t="shared" si="8"/>
        <v>89.8</v>
      </c>
      <c r="T6" s="11" t="s">
        <v>43</v>
      </c>
      <c r="U6" s="11" t="s">
        <v>25</v>
      </c>
      <c r="V6" s="1">
        <f t="shared" si="9"/>
        <v>1.3802369186046513</v>
      </c>
    </row>
    <row r="7" spans="1:22" x14ac:dyDescent="0.35">
      <c r="A7" s="39" t="s">
        <v>33</v>
      </c>
      <c r="B7" s="10">
        <v>33</v>
      </c>
      <c r="C7" s="10">
        <v>16</v>
      </c>
      <c r="D7" s="10">
        <v>4</v>
      </c>
      <c r="E7" s="11">
        <v>2</v>
      </c>
      <c r="F7" s="11">
        <v>36</v>
      </c>
      <c r="G7" s="11">
        <v>236</v>
      </c>
      <c r="H7" s="11">
        <v>15</v>
      </c>
      <c r="I7" s="11">
        <v>3844</v>
      </c>
      <c r="J7" s="11">
        <v>64</v>
      </c>
      <c r="K7" s="10">
        <f t="shared" si="0"/>
        <v>0.52</v>
      </c>
      <c r="L7" s="12">
        <f t="shared" si="1"/>
        <v>3.125E-2</v>
      </c>
      <c r="M7" s="12">
        <f t="shared" si="2"/>
        <v>6.25E-2</v>
      </c>
      <c r="N7" s="10">
        <f t="shared" si="3"/>
        <v>0.56000000000000005</v>
      </c>
      <c r="O7" s="10">
        <f t="shared" si="4"/>
        <v>3.69</v>
      </c>
      <c r="P7" s="10">
        <f t="shared" si="5"/>
        <v>0.23</v>
      </c>
      <c r="Q7" s="10">
        <f t="shared" si="6"/>
        <v>0.92</v>
      </c>
      <c r="R7" s="10">
        <f t="shared" si="7"/>
        <v>48.480000000000004</v>
      </c>
      <c r="S7" s="10">
        <f t="shared" si="8"/>
        <v>60.06</v>
      </c>
      <c r="T7" s="11" t="s">
        <v>43</v>
      </c>
      <c r="U7" s="11" t="s">
        <v>25</v>
      </c>
      <c r="V7" s="1">
        <f t="shared" si="9"/>
        <v>1.0127238372093021</v>
      </c>
    </row>
    <row r="8" spans="1:22" x14ac:dyDescent="0.35">
      <c r="A8" s="40" t="s">
        <v>30</v>
      </c>
      <c r="B8" s="13">
        <v>45</v>
      </c>
      <c r="C8" s="13">
        <v>21</v>
      </c>
      <c r="D8" s="13">
        <v>12</v>
      </c>
      <c r="E8" s="13">
        <v>4</v>
      </c>
      <c r="F8" s="13">
        <v>25</v>
      </c>
      <c r="G8" s="13">
        <v>254</v>
      </c>
      <c r="H8" s="13">
        <v>8</v>
      </c>
      <c r="I8" s="13">
        <v>5407</v>
      </c>
      <c r="J8" s="13">
        <v>53</v>
      </c>
      <c r="K8" s="13">
        <f t="shared" si="0"/>
        <v>0.85</v>
      </c>
      <c r="L8" s="14">
        <f t="shared" si="1"/>
        <v>7.5471698113207544E-2</v>
      </c>
      <c r="M8" s="14">
        <f t="shared" si="2"/>
        <v>0.22641509433962265</v>
      </c>
      <c r="N8" s="13">
        <f t="shared" si="3"/>
        <v>0.47</v>
      </c>
      <c r="O8" s="13">
        <f t="shared" si="4"/>
        <v>4.79</v>
      </c>
      <c r="P8" s="13">
        <f t="shared" si="5"/>
        <v>0.15</v>
      </c>
      <c r="Q8" s="13">
        <f t="shared" si="6"/>
        <v>1.8</v>
      </c>
      <c r="R8" s="13">
        <f t="shared" si="7"/>
        <v>46.67</v>
      </c>
      <c r="S8" s="13">
        <f t="shared" si="8"/>
        <v>102.02</v>
      </c>
      <c r="T8" s="15" t="s">
        <v>43</v>
      </c>
      <c r="U8" s="16" t="s">
        <v>25</v>
      </c>
      <c r="V8" s="1">
        <f t="shared" si="9"/>
        <v>1.5087097411145238</v>
      </c>
    </row>
    <row r="9" spans="1:22" x14ac:dyDescent="0.35">
      <c r="A9" s="40" t="s">
        <v>31</v>
      </c>
      <c r="B9" s="13">
        <v>23</v>
      </c>
      <c r="C9" s="13">
        <v>10</v>
      </c>
      <c r="D9" s="13">
        <v>2</v>
      </c>
      <c r="E9" s="13">
        <v>0</v>
      </c>
      <c r="F9" s="13">
        <v>29</v>
      </c>
      <c r="G9" s="13">
        <v>95</v>
      </c>
      <c r="H9" s="13">
        <v>4</v>
      </c>
      <c r="I9" s="13">
        <v>2789</v>
      </c>
      <c r="J9" s="13">
        <v>53</v>
      </c>
      <c r="K9" s="13">
        <f t="shared" si="0"/>
        <v>0.43</v>
      </c>
      <c r="L9" s="14">
        <f t="shared" si="1"/>
        <v>0</v>
      </c>
      <c r="M9" s="14">
        <f t="shared" si="2"/>
        <v>3.7735849056603772E-2</v>
      </c>
      <c r="N9" s="13">
        <f t="shared" si="3"/>
        <v>0.55000000000000004</v>
      </c>
      <c r="O9" s="13">
        <f t="shared" si="4"/>
        <v>1.79</v>
      </c>
      <c r="P9" s="13">
        <f t="shared" si="5"/>
        <v>0.08</v>
      </c>
      <c r="Q9" s="13">
        <f t="shared" si="6"/>
        <v>0.79</v>
      </c>
      <c r="R9" s="13">
        <f t="shared" si="7"/>
        <v>43.480000000000004</v>
      </c>
      <c r="S9" s="13">
        <f t="shared" si="8"/>
        <v>52.62</v>
      </c>
      <c r="T9" s="15" t="s">
        <v>43</v>
      </c>
      <c r="U9" s="16" t="s">
        <v>25</v>
      </c>
      <c r="V9" s="1">
        <f t="shared" si="9"/>
        <v>0.92317814831066247</v>
      </c>
    </row>
    <row r="10" spans="1:22" x14ac:dyDescent="0.35">
      <c r="A10" s="45" t="s">
        <v>38</v>
      </c>
      <c r="B10" s="29">
        <v>33</v>
      </c>
      <c r="C10" s="29">
        <v>21</v>
      </c>
      <c r="D10" s="29">
        <v>5</v>
      </c>
      <c r="E10" s="29">
        <v>4</v>
      </c>
      <c r="F10" s="29">
        <v>25</v>
      </c>
      <c r="G10" s="29">
        <v>52</v>
      </c>
      <c r="H10" s="29">
        <v>15</v>
      </c>
      <c r="I10" s="29">
        <v>4138</v>
      </c>
      <c r="J10" s="29">
        <v>47</v>
      </c>
      <c r="K10" s="30">
        <f t="shared" si="0"/>
        <v>0.7</v>
      </c>
      <c r="L10" s="31">
        <f t="shared" si="1"/>
        <v>8.5106382978723402E-2</v>
      </c>
      <c r="M10" s="31">
        <f t="shared" si="2"/>
        <v>0.10638297872340426</v>
      </c>
      <c r="N10" s="30">
        <f t="shared" si="3"/>
        <v>0.53</v>
      </c>
      <c r="O10" s="30">
        <f t="shared" si="4"/>
        <v>1.1100000000000001</v>
      </c>
      <c r="P10" s="30">
        <f t="shared" si="5"/>
        <v>0.32</v>
      </c>
      <c r="Q10" s="30">
        <f t="shared" si="6"/>
        <v>1.32</v>
      </c>
      <c r="R10" s="30">
        <f t="shared" si="7"/>
        <v>63.639999999999993</v>
      </c>
      <c r="S10" s="30">
        <f t="shared" si="8"/>
        <v>88.04</v>
      </c>
      <c r="T10" s="29" t="s">
        <v>43</v>
      </c>
      <c r="U10" s="29" t="s">
        <v>25</v>
      </c>
      <c r="V10" s="1">
        <f t="shared" si="9"/>
        <v>1.289105393369619</v>
      </c>
    </row>
    <row r="11" spans="1:22" x14ac:dyDescent="0.35">
      <c r="A11" s="45" t="s">
        <v>39</v>
      </c>
      <c r="B11" s="29">
        <v>28</v>
      </c>
      <c r="C11" s="29">
        <v>7</v>
      </c>
      <c r="D11" s="29">
        <v>5</v>
      </c>
      <c r="E11" s="29">
        <v>1</v>
      </c>
      <c r="F11" s="29">
        <v>30</v>
      </c>
      <c r="G11" s="29">
        <v>172</v>
      </c>
      <c r="H11" s="29">
        <v>15</v>
      </c>
      <c r="I11" s="29">
        <v>2951</v>
      </c>
      <c r="J11" s="29">
        <v>47</v>
      </c>
      <c r="K11" s="30">
        <f t="shared" si="0"/>
        <v>0.6</v>
      </c>
      <c r="L11" s="31">
        <f t="shared" si="1"/>
        <v>2.1276595744680851E-2</v>
      </c>
      <c r="M11" s="31">
        <f t="shared" si="2"/>
        <v>0.10638297872340426</v>
      </c>
      <c r="N11" s="30">
        <f t="shared" si="3"/>
        <v>0.64</v>
      </c>
      <c r="O11" s="30">
        <f t="shared" si="4"/>
        <v>3.66</v>
      </c>
      <c r="P11" s="30">
        <f t="shared" si="5"/>
        <v>0.32</v>
      </c>
      <c r="Q11" s="30">
        <f t="shared" si="6"/>
        <v>0.93</v>
      </c>
      <c r="R11" s="30">
        <f t="shared" si="7"/>
        <v>25</v>
      </c>
      <c r="S11" s="30">
        <f t="shared" si="8"/>
        <v>62.79</v>
      </c>
      <c r="T11" s="29" t="s">
        <v>43</v>
      </c>
      <c r="U11" s="29" t="s">
        <v>25</v>
      </c>
      <c r="V11" s="1">
        <f t="shared" si="9"/>
        <v>0.9988975754576942</v>
      </c>
    </row>
    <row r="12" spans="1:22" x14ac:dyDescent="0.35">
      <c r="A12" s="43" t="s">
        <v>35</v>
      </c>
      <c r="B12" s="22">
        <v>34</v>
      </c>
      <c r="C12" s="22">
        <v>25</v>
      </c>
      <c r="D12" s="22">
        <v>11</v>
      </c>
      <c r="E12" s="22">
        <v>6</v>
      </c>
      <c r="F12" s="22">
        <v>36</v>
      </c>
      <c r="G12" s="22">
        <v>107</v>
      </c>
      <c r="H12" s="22">
        <v>7</v>
      </c>
      <c r="I12" s="22">
        <v>3420</v>
      </c>
      <c r="J12" s="22">
        <v>59</v>
      </c>
      <c r="K12" s="23">
        <f t="shared" si="0"/>
        <v>0.57999999999999996</v>
      </c>
      <c r="L12" s="24">
        <f t="shared" si="1"/>
        <v>0.10169491525423729</v>
      </c>
      <c r="M12" s="24">
        <f t="shared" si="2"/>
        <v>0.1864406779661017</v>
      </c>
      <c r="N12" s="23">
        <f t="shared" si="3"/>
        <v>0.61</v>
      </c>
      <c r="O12" s="23">
        <f t="shared" si="4"/>
        <v>1.81</v>
      </c>
      <c r="P12" s="23">
        <f t="shared" si="5"/>
        <v>0.12</v>
      </c>
      <c r="Q12" s="23">
        <f t="shared" si="6"/>
        <v>0.94</v>
      </c>
      <c r="R12" s="23">
        <f t="shared" si="7"/>
        <v>73.53</v>
      </c>
      <c r="S12" s="23">
        <f t="shared" si="8"/>
        <v>57.97</v>
      </c>
      <c r="T12" s="25" t="s">
        <v>43</v>
      </c>
      <c r="U12" s="25" t="s">
        <v>25</v>
      </c>
      <c r="V12" s="1">
        <f t="shared" si="9"/>
        <v>1.022577059519117</v>
      </c>
    </row>
    <row r="13" spans="1:22" x14ac:dyDescent="0.35">
      <c r="A13" s="43" t="s">
        <v>36</v>
      </c>
      <c r="B13" s="22">
        <v>31</v>
      </c>
      <c r="C13" s="22">
        <v>14</v>
      </c>
      <c r="D13" s="22">
        <v>9</v>
      </c>
      <c r="E13" s="22">
        <v>2</v>
      </c>
      <c r="F13" s="22">
        <v>42</v>
      </c>
      <c r="G13" s="22">
        <v>32</v>
      </c>
      <c r="H13" s="22">
        <v>13</v>
      </c>
      <c r="I13" s="22">
        <v>4041</v>
      </c>
      <c r="J13" s="22">
        <v>59</v>
      </c>
      <c r="K13" s="23">
        <f t="shared" si="0"/>
        <v>0.53</v>
      </c>
      <c r="L13" s="24">
        <f t="shared" si="1"/>
        <v>3.3898305084745763E-2</v>
      </c>
      <c r="M13" s="24">
        <f t="shared" si="2"/>
        <v>0.15254237288135594</v>
      </c>
      <c r="N13" s="23">
        <f t="shared" si="3"/>
        <v>0.71</v>
      </c>
      <c r="O13" s="23">
        <f t="shared" si="4"/>
        <v>0.54</v>
      </c>
      <c r="P13" s="23">
        <f t="shared" si="5"/>
        <v>0.22</v>
      </c>
      <c r="Q13" s="23">
        <f t="shared" si="6"/>
        <v>0.74</v>
      </c>
      <c r="R13" s="23">
        <f t="shared" si="7"/>
        <v>45.16</v>
      </c>
      <c r="S13" s="23">
        <f t="shared" si="8"/>
        <v>68.489999999999995</v>
      </c>
      <c r="T13" s="25" t="s">
        <v>43</v>
      </c>
      <c r="U13" s="25" t="s">
        <v>25</v>
      </c>
      <c r="V13" s="1">
        <f t="shared" si="9"/>
        <v>0.92947339377217186</v>
      </c>
    </row>
    <row r="14" spans="1:22" x14ac:dyDescent="0.35">
      <c r="A14" s="47" t="s">
        <v>42</v>
      </c>
      <c r="B14" s="35">
        <v>32</v>
      </c>
      <c r="C14" s="35">
        <v>14</v>
      </c>
      <c r="D14" s="35">
        <v>9</v>
      </c>
      <c r="E14" s="35">
        <v>1</v>
      </c>
      <c r="F14" s="35">
        <v>31</v>
      </c>
      <c r="G14" s="35">
        <v>148</v>
      </c>
      <c r="H14" s="35">
        <v>14</v>
      </c>
      <c r="I14" s="35">
        <v>4108</v>
      </c>
      <c r="J14" s="35">
        <v>51</v>
      </c>
      <c r="K14" s="36">
        <f t="shared" si="0"/>
        <v>0.63</v>
      </c>
      <c r="L14" s="37">
        <f t="shared" si="1"/>
        <v>1.9607843137254902E-2</v>
      </c>
      <c r="M14" s="37">
        <f t="shared" si="2"/>
        <v>0.17647058823529413</v>
      </c>
      <c r="N14" s="36">
        <f t="shared" si="3"/>
        <v>0.61</v>
      </c>
      <c r="O14" s="36">
        <f t="shared" si="4"/>
        <v>2.9</v>
      </c>
      <c r="P14" s="36">
        <f t="shared" si="5"/>
        <v>0.27</v>
      </c>
      <c r="Q14" s="36">
        <f t="shared" si="6"/>
        <v>1.03</v>
      </c>
      <c r="R14" s="36">
        <f t="shared" si="7"/>
        <v>43.75</v>
      </c>
      <c r="S14" s="36">
        <f t="shared" si="8"/>
        <v>80.55</v>
      </c>
      <c r="T14" s="35" t="s">
        <v>43</v>
      </c>
      <c r="U14" s="35" t="s">
        <v>25</v>
      </c>
      <c r="V14" s="1">
        <f t="shared" si="9"/>
        <v>1.1411903784769721</v>
      </c>
    </row>
    <row r="15" spans="1:22" x14ac:dyDescent="0.35">
      <c r="A15" s="47" t="s">
        <v>27</v>
      </c>
      <c r="B15" s="35">
        <v>28</v>
      </c>
      <c r="C15" s="35">
        <v>13</v>
      </c>
      <c r="D15" s="35">
        <v>7</v>
      </c>
      <c r="E15" s="35">
        <v>3</v>
      </c>
      <c r="F15" s="35">
        <v>30</v>
      </c>
      <c r="G15" s="35">
        <v>253</v>
      </c>
      <c r="H15" s="35">
        <v>2</v>
      </c>
      <c r="I15" s="35">
        <v>2911</v>
      </c>
      <c r="J15" s="35">
        <v>51</v>
      </c>
      <c r="K15" s="36">
        <f t="shared" si="0"/>
        <v>0.55000000000000004</v>
      </c>
      <c r="L15" s="37">
        <f t="shared" si="1"/>
        <v>5.8823529411764705E-2</v>
      </c>
      <c r="M15" s="37">
        <f t="shared" si="2"/>
        <v>0.13725490196078433</v>
      </c>
      <c r="N15" s="36">
        <f t="shared" si="3"/>
        <v>0.59</v>
      </c>
      <c r="O15" s="36">
        <f t="shared" si="4"/>
        <v>4.96</v>
      </c>
      <c r="P15" s="36">
        <f t="shared" si="5"/>
        <v>0.04</v>
      </c>
      <c r="Q15" s="36">
        <f t="shared" si="6"/>
        <v>0.93</v>
      </c>
      <c r="R15" s="36">
        <f t="shared" si="7"/>
        <v>46.43</v>
      </c>
      <c r="S15" s="36">
        <f t="shared" si="8"/>
        <v>57.08</v>
      </c>
      <c r="T15" s="35" t="s">
        <v>43</v>
      </c>
      <c r="U15" s="35" t="s">
        <v>25</v>
      </c>
      <c r="V15" s="1">
        <f t="shared" si="9"/>
        <v>0.99856680346557225</v>
      </c>
    </row>
    <row r="16" spans="1:22" x14ac:dyDescent="0.35">
      <c r="A16" s="42" t="s">
        <v>23</v>
      </c>
      <c r="B16" s="20">
        <v>20</v>
      </c>
      <c r="C16" s="20">
        <v>12</v>
      </c>
      <c r="D16" s="20">
        <v>5</v>
      </c>
      <c r="E16" s="20">
        <v>1</v>
      </c>
      <c r="F16" s="20">
        <v>35</v>
      </c>
      <c r="G16" s="20">
        <v>113</v>
      </c>
      <c r="H16" s="20">
        <v>9</v>
      </c>
      <c r="I16" s="20">
        <v>3014</v>
      </c>
      <c r="J16" s="20">
        <v>50</v>
      </c>
      <c r="K16" s="20">
        <f t="shared" si="0"/>
        <v>0.4</v>
      </c>
      <c r="L16" s="21">
        <f t="shared" si="1"/>
        <v>0.02</v>
      </c>
      <c r="M16" s="21">
        <f t="shared" si="2"/>
        <v>0.1</v>
      </c>
      <c r="N16" s="20">
        <f t="shared" si="3"/>
        <v>0.7</v>
      </c>
      <c r="O16" s="20">
        <f t="shared" si="4"/>
        <v>2.2599999999999998</v>
      </c>
      <c r="P16" s="20">
        <f t="shared" si="5"/>
        <v>0.18</v>
      </c>
      <c r="Q16" s="20">
        <f t="shared" si="6"/>
        <v>0.56999999999999995</v>
      </c>
      <c r="R16" s="20">
        <f t="shared" si="7"/>
        <v>60</v>
      </c>
      <c r="S16" s="20">
        <f t="shared" si="8"/>
        <v>60.28</v>
      </c>
      <c r="T16" s="20" t="s">
        <v>43</v>
      </c>
      <c r="U16" s="20" t="s">
        <v>25</v>
      </c>
      <c r="V16" s="1">
        <f t="shared" si="9"/>
        <v>0.81837209302325586</v>
      </c>
    </row>
    <row r="17" spans="1:22" x14ac:dyDescent="0.35">
      <c r="A17" s="42" t="s">
        <v>24</v>
      </c>
      <c r="B17" s="20">
        <v>19</v>
      </c>
      <c r="C17" s="20">
        <v>8</v>
      </c>
      <c r="D17" s="20">
        <v>4</v>
      </c>
      <c r="E17" s="20">
        <v>1</v>
      </c>
      <c r="F17" s="20">
        <v>32</v>
      </c>
      <c r="G17" s="20">
        <v>26</v>
      </c>
      <c r="H17" s="20">
        <v>10</v>
      </c>
      <c r="I17" s="20">
        <v>2420</v>
      </c>
      <c r="J17" s="20">
        <v>50</v>
      </c>
      <c r="K17" s="20">
        <f t="shared" si="0"/>
        <v>0.38</v>
      </c>
      <c r="L17" s="21">
        <f t="shared" si="1"/>
        <v>0.02</v>
      </c>
      <c r="M17" s="21">
        <f t="shared" si="2"/>
        <v>0.08</v>
      </c>
      <c r="N17" s="20">
        <f t="shared" si="3"/>
        <v>0.64</v>
      </c>
      <c r="O17" s="20">
        <f t="shared" si="4"/>
        <v>0.52</v>
      </c>
      <c r="P17" s="20">
        <f t="shared" si="5"/>
        <v>0.2</v>
      </c>
      <c r="Q17" s="20">
        <f t="shared" si="6"/>
        <v>0.59</v>
      </c>
      <c r="R17" s="20">
        <f t="shared" si="7"/>
        <v>42.11</v>
      </c>
      <c r="S17" s="20">
        <f t="shared" si="8"/>
        <v>48.4</v>
      </c>
      <c r="T17" s="20" t="s">
        <v>43</v>
      </c>
      <c r="U17" s="20" t="s">
        <v>25</v>
      </c>
      <c r="V17" s="1">
        <f t="shared" si="9"/>
        <v>0.80911627906976746</v>
      </c>
    </row>
    <row r="18" spans="1:22" x14ac:dyDescent="0.35">
      <c r="A18" s="44" t="s">
        <v>37</v>
      </c>
      <c r="B18" s="26">
        <v>33</v>
      </c>
      <c r="C18" s="26">
        <v>17</v>
      </c>
      <c r="D18" s="26">
        <v>10</v>
      </c>
      <c r="E18" s="26">
        <v>1</v>
      </c>
      <c r="F18" s="26">
        <v>33</v>
      </c>
      <c r="G18" s="26">
        <v>261</v>
      </c>
      <c r="H18" s="26">
        <v>6</v>
      </c>
      <c r="I18" s="26">
        <v>4382</v>
      </c>
      <c r="J18" s="26">
        <v>51</v>
      </c>
      <c r="K18" s="27">
        <f t="shared" si="0"/>
        <v>0.65</v>
      </c>
      <c r="L18" s="28">
        <f t="shared" si="1"/>
        <v>1.9607843137254902E-2</v>
      </c>
      <c r="M18" s="28">
        <f t="shared" si="2"/>
        <v>0.19607843137254902</v>
      </c>
      <c r="N18" s="27">
        <f t="shared" si="3"/>
        <v>0.65</v>
      </c>
      <c r="O18" s="27">
        <f t="shared" si="4"/>
        <v>5.12</v>
      </c>
      <c r="P18" s="27">
        <f t="shared" si="5"/>
        <v>0.12</v>
      </c>
      <c r="Q18" s="27">
        <f t="shared" si="6"/>
        <v>1</v>
      </c>
      <c r="R18" s="27">
        <f t="shared" si="7"/>
        <v>51.519999999999996</v>
      </c>
      <c r="S18" s="27">
        <f t="shared" si="8"/>
        <v>85.92</v>
      </c>
      <c r="T18" s="27" t="s">
        <v>43</v>
      </c>
      <c r="U18" s="27" t="s">
        <v>25</v>
      </c>
      <c r="V18" s="1">
        <f t="shared" si="9"/>
        <v>1.1335690834473324</v>
      </c>
    </row>
    <row r="19" spans="1:22" x14ac:dyDescent="0.35">
      <c r="A19" s="44" t="s">
        <v>26</v>
      </c>
      <c r="B19" s="26">
        <v>19</v>
      </c>
      <c r="C19" s="26">
        <v>10</v>
      </c>
      <c r="D19" s="26">
        <v>5</v>
      </c>
      <c r="E19" s="26">
        <v>2</v>
      </c>
      <c r="F19" s="26">
        <v>33</v>
      </c>
      <c r="G19" s="27">
        <v>84</v>
      </c>
      <c r="H19" s="26">
        <v>8</v>
      </c>
      <c r="I19" s="26">
        <v>2145</v>
      </c>
      <c r="J19" s="26">
        <v>51</v>
      </c>
      <c r="K19" s="27">
        <f t="shared" si="0"/>
        <v>0.37</v>
      </c>
      <c r="L19" s="28">
        <f t="shared" si="1"/>
        <v>3.9215686274509803E-2</v>
      </c>
      <c r="M19" s="28">
        <f t="shared" si="2"/>
        <v>9.8039215686274508E-2</v>
      </c>
      <c r="N19" s="27">
        <f t="shared" si="3"/>
        <v>0.65</v>
      </c>
      <c r="O19" s="27">
        <f t="shared" si="4"/>
        <v>1.65</v>
      </c>
      <c r="P19" s="27">
        <f t="shared" si="5"/>
        <v>0.16</v>
      </c>
      <c r="Q19" s="27">
        <f t="shared" si="6"/>
        <v>0.57999999999999996</v>
      </c>
      <c r="R19" s="27">
        <f t="shared" si="7"/>
        <v>52.629999999999995</v>
      </c>
      <c r="S19" s="27">
        <f t="shared" si="8"/>
        <v>42.06</v>
      </c>
      <c r="T19" s="27" t="s">
        <v>43</v>
      </c>
      <c r="U19" s="27" t="s">
        <v>25</v>
      </c>
      <c r="V19" s="1">
        <f t="shared" si="9"/>
        <v>0.77098084815321477</v>
      </c>
    </row>
    <row r="20" spans="1:22" x14ac:dyDescent="0.35">
      <c r="A20" s="41" t="s">
        <v>34</v>
      </c>
      <c r="B20" s="18">
        <v>28</v>
      </c>
      <c r="C20" s="18">
        <v>21</v>
      </c>
      <c r="D20" s="17">
        <v>8</v>
      </c>
      <c r="E20" s="18">
        <v>4</v>
      </c>
      <c r="F20" s="18">
        <v>29</v>
      </c>
      <c r="G20" s="18">
        <v>28</v>
      </c>
      <c r="H20" s="18">
        <v>12</v>
      </c>
      <c r="I20" s="18">
        <v>3074</v>
      </c>
      <c r="J20" s="18">
        <v>42</v>
      </c>
      <c r="K20" s="17">
        <f t="shared" si="0"/>
        <v>0.67</v>
      </c>
      <c r="L20" s="19">
        <f t="shared" si="1"/>
        <v>9.5238095238095233E-2</v>
      </c>
      <c r="M20" s="19">
        <f t="shared" si="2"/>
        <v>0.19047619047619047</v>
      </c>
      <c r="N20" s="17">
        <f t="shared" si="3"/>
        <v>0.69</v>
      </c>
      <c r="O20" s="17">
        <f t="shared" si="4"/>
        <v>0.67</v>
      </c>
      <c r="P20" s="17">
        <f t="shared" si="5"/>
        <v>0.28999999999999998</v>
      </c>
      <c r="Q20" s="17">
        <f t="shared" si="6"/>
        <v>0.97</v>
      </c>
      <c r="R20" s="17">
        <f t="shared" si="7"/>
        <v>75</v>
      </c>
      <c r="S20" s="17">
        <f t="shared" si="8"/>
        <v>73.19</v>
      </c>
      <c r="T20" s="18" t="s">
        <v>43</v>
      </c>
      <c r="U20" s="18" t="s">
        <v>25</v>
      </c>
      <c r="V20" s="1">
        <f t="shared" si="9"/>
        <v>1.0665852713178294</v>
      </c>
    </row>
    <row r="21" spans="1:22" x14ac:dyDescent="0.35">
      <c r="A21" s="41" t="s">
        <v>22</v>
      </c>
      <c r="B21" s="17">
        <v>14</v>
      </c>
      <c r="C21" s="17">
        <v>6</v>
      </c>
      <c r="D21" s="17">
        <v>2</v>
      </c>
      <c r="E21" s="18">
        <v>0</v>
      </c>
      <c r="F21" s="18">
        <v>32</v>
      </c>
      <c r="G21" s="18">
        <v>70</v>
      </c>
      <c r="H21" s="18">
        <v>6</v>
      </c>
      <c r="I21" s="18">
        <v>1732</v>
      </c>
      <c r="J21" s="18">
        <v>42</v>
      </c>
      <c r="K21" s="17">
        <f t="shared" si="0"/>
        <v>0.33</v>
      </c>
      <c r="L21" s="19">
        <f t="shared" si="1"/>
        <v>0</v>
      </c>
      <c r="M21" s="19">
        <f t="shared" si="2"/>
        <v>4.7619047619047616E-2</v>
      </c>
      <c r="N21" s="17">
        <f t="shared" si="3"/>
        <v>0.76</v>
      </c>
      <c r="O21" s="17">
        <f t="shared" si="4"/>
        <v>1.67</v>
      </c>
      <c r="P21" s="17">
        <f t="shared" si="5"/>
        <v>0.14000000000000001</v>
      </c>
      <c r="Q21" s="17">
        <f t="shared" si="6"/>
        <v>0.44</v>
      </c>
      <c r="R21" s="17">
        <f t="shared" si="7"/>
        <v>42.86</v>
      </c>
      <c r="S21" s="17">
        <f t="shared" si="8"/>
        <v>41.24</v>
      </c>
      <c r="T21" s="18" t="s">
        <v>43</v>
      </c>
      <c r="U21" s="18" t="s">
        <v>25</v>
      </c>
      <c r="V21" s="1">
        <f t="shared" si="9"/>
        <v>0.61571871539313405</v>
      </c>
    </row>
  </sheetData>
  <sortState xmlns:xlrd2="http://schemas.microsoft.com/office/spreadsheetml/2017/richdata2" ref="A2:V21">
    <sortCondition sortBy="cellColor" ref="A21" dxfId="0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2026-02-27T18:14:48Z</dcterms:modified>
</cp:coreProperties>
</file>