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0EF4EC13-A652-4E53-A25B-182EBBFD3A9B}" xr6:coauthVersionLast="47" xr6:coauthVersionMax="47" xr10:uidLastSave="{00000000-0000-0000-0000-000000000000}"/>
  <bookViews>
    <workbookView xWindow="1905" yWindow="1905" windowWidth="28800" windowHeight="15345" xr2:uid="{44E8176A-B14F-4FEE-87B9-53CEBFA849E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1" i="1" l="1"/>
  <c r="R21" i="1"/>
  <c r="Q21" i="1"/>
  <c r="P21" i="1"/>
  <c r="O21" i="1"/>
  <c r="N21" i="1"/>
  <c r="M21" i="1"/>
  <c r="L21" i="1"/>
  <c r="K21" i="1"/>
  <c r="S20" i="1"/>
  <c r="R20" i="1"/>
  <c r="Q20" i="1"/>
  <c r="P20" i="1"/>
  <c r="O20" i="1"/>
  <c r="N20" i="1"/>
  <c r="M20" i="1"/>
  <c r="L20" i="1"/>
  <c r="K20" i="1"/>
  <c r="S19" i="1"/>
  <c r="R19" i="1"/>
  <c r="Q19" i="1"/>
  <c r="P19" i="1"/>
  <c r="O19" i="1"/>
  <c r="N19" i="1"/>
  <c r="M19" i="1"/>
  <c r="L19" i="1"/>
  <c r="K19" i="1"/>
  <c r="S18" i="1"/>
  <c r="R18" i="1"/>
  <c r="Q18" i="1"/>
  <c r="P18" i="1"/>
  <c r="O18" i="1"/>
  <c r="N18" i="1"/>
  <c r="M18" i="1"/>
  <c r="L18" i="1"/>
  <c r="K18" i="1"/>
  <c r="S17" i="1"/>
  <c r="R17" i="1"/>
  <c r="Q17" i="1"/>
  <c r="P17" i="1"/>
  <c r="O17" i="1"/>
  <c r="N17" i="1"/>
  <c r="M17" i="1"/>
  <c r="L17" i="1"/>
  <c r="K17" i="1"/>
  <c r="S16" i="1"/>
  <c r="R16" i="1"/>
  <c r="Q16" i="1"/>
  <c r="P16" i="1"/>
  <c r="O16" i="1"/>
  <c r="N16" i="1"/>
  <c r="M16" i="1"/>
  <c r="L16" i="1"/>
  <c r="K16" i="1"/>
  <c r="K2" i="1"/>
  <c r="L2" i="1"/>
  <c r="M2" i="1"/>
  <c r="N2" i="1"/>
  <c r="O2" i="1"/>
  <c r="P2" i="1"/>
  <c r="Q2" i="1"/>
  <c r="K3" i="1"/>
  <c r="L3" i="1"/>
  <c r="M3" i="1"/>
  <c r="N3" i="1"/>
  <c r="O3" i="1"/>
  <c r="P3" i="1"/>
  <c r="Q3" i="1"/>
  <c r="K4" i="1"/>
  <c r="L4" i="1"/>
  <c r="M4" i="1"/>
  <c r="N4" i="1"/>
  <c r="O4" i="1"/>
  <c r="P4" i="1"/>
  <c r="Q4" i="1"/>
  <c r="K5" i="1"/>
  <c r="L5" i="1"/>
  <c r="M5" i="1"/>
  <c r="N5" i="1"/>
  <c r="O5" i="1"/>
  <c r="P5" i="1"/>
  <c r="Q5" i="1"/>
  <c r="K6" i="1"/>
  <c r="L6" i="1"/>
  <c r="M6" i="1"/>
  <c r="N6" i="1"/>
  <c r="O6" i="1"/>
  <c r="P6" i="1"/>
  <c r="Q6" i="1"/>
  <c r="K7" i="1"/>
  <c r="L7" i="1"/>
  <c r="M7" i="1"/>
  <c r="N7" i="1"/>
  <c r="O7" i="1"/>
  <c r="P7" i="1"/>
  <c r="Q7" i="1"/>
  <c r="K9" i="1"/>
  <c r="L9" i="1"/>
  <c r="M9" i="1"/>
  <c r="N9" i="1"/>
  <c r="O9" i="1"/>
  <c r="P9" i="1"/>
  <c r="Q9" i="1"/>
  <c r="K8" i="1"/>
  <c r="L8" i="1"/>
  <c r="M8" i="1"/>
  <c r="N8" i="1"/>
  <c r="O8" i="1"/>
  <c r="P8" i="1"/>
  <c r="Q8" i="1"/>
  <c r="K10" i="1"/>
  <c r="L10" i="1"/>
  <c r="M10" i="1"/>
  <c r="N10" i="1"/>
  <c r="O10" i="1"/>
  <c r="P10" i="1"/>
  <c r="Q10" i="1"/>
  <c r="K11" i="1"/>
  <c r="L11" i="1"/>
  <c r="M11" i="1"/>
  <c r="N11" i="1"/>
  <c r="O11" i="1"/>
  <c r="P11" i="1"/>
  <c r="Q11" i="1"/>
  <c r="K12" i="1"/>
  <c r="L12" i="1"/>
  <c r="M12" i="1"/>
  <c r="N12" i="1"/>
  <c r="O12" i="1"/>
  <c r="P12" i="1"/>
  <c r="Q12" i="1"/>
  <c r="K13" i="1"/>
  <c r="L13" i="1"/>
  <c r="M13" i="1"/>
  <c r="N13" i="1"/>
  <c r="O13" i="1"/>
  <c r="P13" i="1"/>
  <c r="Q13" i="1"/>
  <c r="K14" i="1"/>
  <c r="L14" i="1"/>
  <c r="M14" i="1"/>
  <c r="N14" i="1"/>
  <c r="O14" i="1"/>
  <c r="P14" i="1"/>
  <c r="Q14" i="1"/>
  <c r="K15" i="1"/>
  <c r="L15" i="1"/>
  <c r="M15" i="1"/>
  <c r="N15" i="1"/>
  <c r="O15" i="1"/>
  <c r="P15" i="1"/>
  <c r="Q15" i="1"/>
  <c r="S15" i="1"/>
  <c r="R15" i="1"/>
  <c r="S14" i="1"/>
  <c r="R14" i="1"/>
  <c r="S13" i="1"/>
  <c r="R13" i="1"/>
  <c r="S12" i="1"/>
  <c r="R12" i="1"/>
  <c r="S11" i="1"/>
  <c r="R11" i="1"/>
  <c r="S10" i="1"/>
  <c r="R10" i="1"/>
  <c r="S8" i="1"/>
  <c r="R8" i="1"/>
  <c r="S9" i="1"/>
  <c r="R9" i="1"/>
  <c r="S7" i="1"/>
  <c r="R7" i="1"/>
  <c r="S6" i="1"/>
  <c r="R6" i="1"/>
  <c r="S5" i="1"/>
  <c r="R5" i="1"/>
  <c r="S4" i="1"/>
  <c r="R4" i="1"/>
  <c r="S3" i="1"/>
  <c r="R3" i="1"/>
  <c r="S2" i="1"/>
  <c r="R2" i="1"/>
  <c r="V18" i="1" l="1"/>
  <c r="V5" i="1"/>
  <c r="V21" i="1"/>
  <c r="V17" i="1"/>
  <c r="V7" i="1"/>
  <c r="V12" i="1"/>
  <c r="V19" i="1"/>
  <c r="V20" i="1"/>
  <c r="V16" i="1"/>
  <c r="V11" i="1"/>
  <c r="V4" i="1"/>
  <c r="V2" i="1"/>
  <c r="V9" i="1"/>
  <c r="V13" i="1"/>
  <c r="V8" i="1"/>
  <c r="V14" i="1"/>
  <c r="V10" i="1"/>
  <c r="V15" i="1"/>
  <c r="V6" i="1"/>
  <c r="V3" i="1"/>
</calcChain>
</file>

<file path=xl/sharedStrings.xml><?xml version="1.0" encoding="utf-8"?>
<sst xmlns="http://schemas.openxmlformats.org/spreadsheetml/2006/main" count="82" uniqueCount="44">
  <si>
    <t>player</t>
  </si>
  <si>
    <t>K</t>
  </si>
  <si>
    <t>HS</t>
  </si>
  <si>
    <t>MK</t>
  </si>
  <si>
    <t>1v2</t>
  </si>
  <si>
    <t>D</t>
  </si>
  <si>
    <t>UD</t>
  </si>
  <si>
    <t>EF</t>
  </si>
  <si>
    <t>DAM</t>
  </si>
  <si>
    <t>R</t>
  </si>
  <si>
    <t>KPR</t>
  </si>
  <si>
    <t>1v2PR</t>
  </si>
  <si>
    <t>MKPR</t>
  </si>
  <si>
    <t>DPR</t>
  </si>
  <si>
    <t>UDR</t>
  </si>
  <si>
    <t>EFR</t>
  </si>
  <si>
    <t>KD</t>
  </si>
  <si>
    <t>HS%</t>
  </si>
  <si>
    <t>ADR</t>
  </si>
  <si>
    <t>Placement</t>
  </si>
  <si>
    <t>Awards</t>
  </si>
  <si>
    <t>PadRating</t>
  </si>
  <si>
    <t>Jsad</t>
  </si>
  <si>
    <t>Danzo</t>
  </si>
  <si>
    <t>Hendo</t>
  </si>
  <si>
    <t>none</t>
  </si>
  <si>
    <t>Andy</t>
  </si>
  <si>
    <t>Dank</t>
  </si>
  <si>
    <t>WillP</t>
  </si>
  <si>
    <t>Berman</t>
  </si>
  <si>
    <t>Mythic</t>
  </si>
  <si>
    <t>DirtShiesty</t>
  </si>
  <si>
    <t>theod</t>
  </si>
  <si>
    <t>dwarriorIV</t>
  </si>
  <si>
    <t>Nos</t>
  </si>
  <si>
    <t>Drew</t>
  </si>
  <si>
    <t>ULTRA BEAST</t>
  </si>
  <si>
    <t>Sweaty</t>
  </si>
  <si>
    <t>HyperDonk</t>
  </si>
  <si>
    <t>Kyle</t>
  </si>
  <si>
    <t>Droid</t>
  </si>
  <si>
    <t>MaggotEatr</t>
  </si>
  <si>
    <t>dverad74</t>
  </si>
  <si>
    <t>10th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</si>
</sst>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Aptos Narrow"/>
    </font>
    <font>
      <sz val="11"/>
      <color theme="1"/>
      <name val="Aptos Narrow"/>
      <family val="2"/>
    </font>
    <font>
      <sz val="11"/>
      <color theme="0"/>
      <name val="Aptos Narrow"/>
      <family val="2"/>
    </font>
    <font>
      <sz val="11"/>
      <color theme="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rgb="FF00B050"/>
      </patternFill>
    </fill>
    <fill>
      <patternFill patternType="solid">
        <fgColor rgb="FFF3A602"/>
        <bgColor indexed="64"/>
      </patternFill>
    </fill>
    <fill>
      <patternFill patternType="solid">
        <fgColor rgb="FFEF3E88"/>
        <bgColor indexed="64"/>
      </patternFill>
    </fill>
    <fill>
      <patternFill patternType="solid">
        <fgColor rgb="FF56260B"/>
        <bgColor indexed="64"/>
      </patternFill>
    </fill>
    <fill>
      <patternFill patternType="solid">
        <fgColor rgb="FF1A3C8E"/>
        <bgColor indexed="64"/>
      </patternFill>
    </fill>
    <fill>
      <patternFill patternType="solid">
        <fgColor rgb="FF0038B8"/>
        <bgColor indexed="64"/>
      </patternFill>
    </fill>
    <fill>
      <patternFill patternType="solid">
        <fgColor rgb="FF501C75"/>
        <bgColor indexed="64"/>
      </patternFill>
    </fill>
    <fill>
      <patternFill patternType="solid">
        <fgColor rgb="FF7D86E0"/>
        <bgColor indexed="64"/>
      </patternFill>
    </fill>
    <fill>
      <patternFill patternType="solid">
        <fgColor rgb="FFDF060A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2" fontId="5" fillId="3" borderId="0" xfId="0" applyNumberFormat="1" applyFont="1" applyFill="1" applyAlignment="1">
      <alignment horizontal="right"/>
    </xf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3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4" borderId="0" xfId="0" applyFont="1" applyFill="1" applyAlignment="1">
      <alignment horizontal="center"/>
    </xf>
    <xf numFmtId="2" fontId="4" fillId="4" borderId="0" xfId="0" applyNumberFormat="1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0" fontId="5" fillId="12" borderId="0" xfId="0" applyFont="1" applyFill="1" applyAlignment="1">
      <alignment horizontal="center"/>
    </xf>
    <xf numFmtId="2" fontId="4" fillId="12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2" fontId="4" fillId="5" borderId="0" xfId="0" applyNumberFormat="1" applyFont="1" applyFill="1" applyAlignment="1">
      <alignment horizontal="center"/>
    </xf>
    <xf numFmtId="16" fontId="5" fillId="5" borderId="0" xfId="0" applyNumberFormat="1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3" borderId="0" xfId="0" applyFont="1" applyFill="1" applyAlignment="1">
      <alignment horizontal="center"/>
    </xf>
    <xf numFmtId="0" fontId="5" fillId="13" borderId="0" xfId="0" applyFont="1" applyFill="1" applyAlignment="1">
      <alignment horizontal="center"/>
    </xf>
    <xf numFmtId="2" fontId="4" fillId="13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2" fontId="6" fillId="6" borderId="0" xfId="0" applyNumberFormat="1" applyFont="1" applyFill="1" applyAlignment="1">
      <alignment horizontal="center"/>
    </xf>
    <xf numFmtId="0" fontId="3" fillId="11" borderId="0" xfId="0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2" fontId="4" fillId="11" borderId="0" xfId="0" applyNumberFormat="1" applyFont="1" applyFill="1" applyAlignment="1">
      <alignment horizontal="center"/>
    </xf>
    <xf numFmtId="0" fontId="5" fillId="11" borderId="0" xfId="0" applyFont="1" applyFill="1" applyAlignment="1">
      <alignment horizontal="center"/>
    </xf>
    <xf numFmtId="0" fontId="7" fillId="7" borderId="0" xfId="0" applyFont="1" applyFill="1" applyAlignment="1">
      <alignment horizontal="center"/>
    </xf>
    <xf numFmtId="0" fontId="6" fillId="7" borderId="0" xfId="0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2" fontId="6" fillId="8" borderId="0" xfId="0" applyNumberFormat="1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6" fillId="9" borderId="0" xfId="0" applyFont="1" applyFill="1" applyAlignment="1">
      <alignment horizontal="center"/>
    </xf>
    <xf numFmtId="2" fontId="6" fillId="9" borderId="0" xfId="0" applyNumberFormat="1" applyFont="1" applyFill="1" applyAlignment="1">
      <alignment horizontal="center"/>
    </xf>
    <xf numFmtId="0" fontId="0" fillId="10" borderId="0" xfId="0" applyFill="1" applyAlignment="1">
      <alignment horizontal="center"/>
    </xf>
    <xf numFmtId="0" fontId="4" fillId="10" borderId="0" xfId="0" applyFont="1" applyFill="1" applyAlignment="1">
      <alignment horizontal="center"/>
    </xf>
    <xf numFmtId="2" fontId="4" fillId="10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left"/>
    </xf>
    <xf numFmtId="0" fontId="4" fillId="12" borderId="0" xfId="0" applyFont="1" applyFill="1" applyAlignment="1">
      <alignment horizontal="left"/>
    </xf>
    <xf numFmtId="0" fontId="4" fillId="5" borderId="0" xfId="0" applyFont="1" applyFill="1" applyAlignment="1">
      <alignment horizontal="left"/>
    </xf>
    <xf numFmtId="0" fontId="4" fillId="13" borderId="0" xfId="0" applyFont="1" applyFill="1" applyAlignment="1">
      <alignment horizontal="left"/>
    </xf>
    <xf numFmtId="0" fontId="6" fillId="6" borderId="0" xfId="0" applyFont="1" applyFill="1" applyAlignment="1">
      <alignment horizontal="left"/>
    </xf>
    <xf numFmtId="0" fontId="4" fillId="11" borderId="0" xfId="0" applyFont="1" applyFill="1" applyAlignment="1">
      <alignment horizontal="left"/>
    </xf>
    <xf numFmtId="0" fontId="6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1" fillId="9" borderId="0" xfId="0" applyFont="1" applyFill="1" applyAlignment="1">
      <alignment horizontal="left"/>
    </xf>
    <xf numFmtId="0" fontId="0" fillId="10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87D18"/>
      <color rgb="FFDF060A"/>
      <color rgb="FF56260B"/>
      <color rgb="FF7D86E0"/>
      <color rgb="FF501C75"/>
      <color rgb="FF0038B8"/>
      <color rgb="FF1A3C8E"/>
      <color rgb="FFCF5B1B"/>
      <color rgb="FF8C3E12"/>
      <color rgb="FFEF3E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2513A-E0D1-405F-B780-5234AC262E79}">
  <dimension ref="A1:V21"/>
  <sheetViews>
    <sheetView tabSelected="1" zoomScaleNormal="100" workbookViewId="0">
      <selection activeCell="Z14" sqref="Z14"/>
    </sheetView>
  </sheetViews>
  <sheetFormatPr defaultRowHeight="15" x14ac:dyDescent="0.25"/>
  <cols>
    <col min="1" max="1" width="12.140625" bestFit="1" customWidth="1"/>
    <col min="20" max="20" width="10.28515625" bestFit="1" customWidth="1"/>
    <col min="22" max="22" width="10" bestFit="1" customWidth="1"/>
  </cols>
  <sheetData>
    <row r="1" spans="1:22" x14ac:dyDescent="0.25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 t="s">
        <v>5</v>
      </c>
      <c r="G1" s="2" t="s">
        <v>6</v>
      </c>
      <c r="H1" s="4" t="s">
        <v>7</v>
      </c>
      <c r="I1" s="2" t="s">
        <v>8</v>
      </c>
      <c r="J1" s="2" t="s">
        <v>9</v>
      </c>
      <c r="K1" s="5" t="s">
        <v>10</v>
      </c>
      <c r="L1" s="6" t="s">
        <v>11</v>
      </c>
      <c r="M1" s="6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2" t="s">
        <v>19</v>
      </c>
      <c r="U1" s="2" t="s">
        <v>20</v>
      </c>
      <c r="V1" s="6" t="s">
        <v>21</v>
      </c>
    </row>
    <row r="2" spans="1:22" x14ac:dyDescent="0.25">
      <c r="A2" s="38" t="s">
        <v>29</v>
      </c>
      <c r="B2" s="7">
        <v>31</v>
      </c>
      <c r="C2" s="7">
        <v>21</v>
      </c>
      <c r="D2" s="7">
        <v>7</v>
      </c>
      <c r="E2" s="7">
        <v>2</v>
      </c>
      <c r="F2" s="7">
        <v>14</v>
      </c>
      <c r="G2" s="7">
        <v>320</v>
      </c>
      <c r="H2" s="7">
        <v>12</v>
      </c>
      <c r="I2" s="7">
        <v>3150</v>
      </c>
      <c r="J2" s="7">
        <v>32</v>
      </c>
      <c r="K2" s="7">
        <f t="shared" ref="K2:K21" si="0">ROUND(IMDIV(B2,J2),2)</f>
        <v>0.97</v>
      </c>
      <c r="L2" s="8">
        <f t="shared" ref="L2:L21" si="1">E2/J2</f>
        <v>6.25E-2</v>
      </c>
      <c r="M2" s="8">
        <f t="shared" ref="M2:M21" si="2">D2/J2</f>
        <v>0.21875</v>
      </c>
      <c r="N2" s="7">
        <f t="shared" ref="N2:N21" si="3">ROUND(IMDIV(F2,J2),2)</f>
        <v>0.44</v>
      </c>
      <c r="O2" s="7">
        <f t="shared" ref="O2:O21" si="4">ROUND(IMDIV(G2,J2),2)</f>
        <v>10</v>
      </c>
      <c r="P2" s="7">
        <f t="shared" ref="P2:P21" si="5">ROUND(IMDIV(H2,J2),2)</f>
        <v>0.38</v>
      </c>
      <c r="Q2" s="7">
        <f t="shared" ref="Q2:Q21" si="6">ROUND(IMDIV(B2,F2),2)</f>
        <v>2.21</v>
      </c>
      <c r="R2" s="7">
        <f t="shared" ref="R2:R21" si="7">ROUND(IMDIV(C2,B2),4)*100</f>
        <v>67.739999999999995</v>
      </c>
      <c r="S2" s="7">
        <f t="shared" ref="S2:S21" si="8">ROUND(IMDIV(I2,J2),2)</f>
        <v>98.44</v>
      </c>
      <c r="T2" s="9" t="s">
        <v>43</v>
      </c>
      <c r="U2" s="9" t="s">
        <v>25</v>
      </c>
      <c r="V2" s="1">
        <f t="shared" ref="V2:V21" si="9">((K2/2)+(M2/4)+(L2/5)-(N2)+(S2/215)+(P2/20))+1</f>
        <v>1.589047965116279</v>
      </c>
    </row>
    <row r="3" spans="1:22" x14ac:dyDescent="0.25">
      <c r="A3" s="38" t="s">
        <v>28</v>
      </c>
      <c r="B3" s="7">
        <v>16</v>
      </c>
      <c r="C3" s="7">
        <v>9</v>
      </c>
      <c r="D3" s="7">
        <v>2</v>
      </c>
      <c r="E3" s="7">
        <v>0</v>
      </c>
      <c r="F3" s="7">
        <v>17</v>
      </c>
      <c r="G3" s="7">
        <v>1</v>
      </c>
      <c r="H3" s="7">
        <v>2</v>
      </c>
      <c r="I3" s="7">
        <v>1739</v>
      </c>
      <c r="J3" s="7">
        <v>32</v>
      </c>
      <c r="K3" s="7">
        <f t="shared" si="0"/>
        <v>0.5</v>
      </c>
      <c r="L3" s="8">
        <f t="shared" si="1"/>
        <v>0</v>
      </c>
      <c r="M3" s="8">
        <f t="shared" si="2"/>
        <v>6.25E-2</v>
      </c>
      <c r="N3" s="7">
        <f t="shared" si="3"/>
        <v>0.53</v>
      </c>
      <c r="O3" s="7">
        <f t="shared" si="4"/>
        <v>0.03</v>
      </c>
      <c r="P3" s="7">
        <f t="shared" si="5"/>
        <v>0.06</v>
      </c>
      <c r="Q3" s="7">
        <f t="shared" si="6"/>
        <v>0.94</v>
      </c>
      <c r="R3" s="7">
        <f t="shared" si="7"/>
        <v>56.25</v>
      </c>
      <c r="S3" s="7">
        <f t="shared" si="8"/>
        <v>54.34</v>
      </c>
      <c r="T3" s="9" t="s">
        <v>43</v>
      </c>
      <c r="U3" s="9" t="s">
        <v>25</v>
      </c>
      <c r="V3" s="1">
        <f t="shared" si="9"/>
        <v>0.99136918604651159</v>
      </c>
    </row>
    <row r="4" spans="1:22" x14ac:dyDescent="0.25">
      <c r="A4" s="39" t="s">
        <v>32</v>
      </c>
      <c r="B4" s="10">
        <v>14</v>
      </c>
      <c r="C4" s="10">
        <v>7</v>
      </c>
      <c r="D4" s="10">
        <v>2</v>
      </c>
      <c r="E4" s="11">
        <v>0</v>
      </c>
      <c r="F4" s="11">
        <v>6</v>
      </c>
      <c r="G4" s="11">
        <v>63</v>
      </c>
      <c r="H4" s="11">
        <v>11</v>
      </c>
      <c r="I4" s="11">
        <v>1440</v>
      </c>
      <c r="J4" s="11">
        <v>15</v>
      </c>
      <c r="K4" s="10">
        <f t="shared" si="0"/>
        <v>0.93</v>
      </c>
      <c r="L4" s="12">
        <f t="shared" si="1"/>
        <v>0</v>
      </c>
      <c r="M4" s="12">
        <f t="shared" si="2"/>
        <v>0.13333333333333333</v>
      </c>
      <c r="N4" s="10">
        <f t="shared" si="3"/>
        <v>0.4</v>
      </c>
      <c r="O4" s="10">
        <f t="shared" si="4"/>
        <v>4.2</v>
      </c>
      <c r="P4" s="10">
        <f t="shared" si="5"/>
        <v>0.73</v>
      </c>
      <c r="Q4" s="10">
        <f t="shared" si="6"/>
        <v>2.33</v>
      </c>
      <c r="R4" s="10">
        <f t="shared" si="7"/>
        <v>50</v>
      </c>
      <c r="S4" s="10">
        <f t="shared" si="8"/>
        <v>96</v>
      </c>
      <c r="T4" s="11" t="s">
        <v>43</v>
      </c>
      <c r="U4" s="11" t="s">
        <v>25</v>
      </c>
      <c r="V4" s="1">
        <f t="shared" si="9"/>
        <v>1.5813449612403101</v>
      </c>
    </row>
    <row r="5" spans="1:22" x14ac:dyDescent="0.25">
      <c r="A5" s="39" t="s">
        <v>33</v>
      </c>
      <c r="B5" s="10">
        <v>8</v>
      </c>
      <c r="C5" s="10">
        <v>7</v>
      </c>
      <c r="D5" s="10">
        <v>0</v>
      </c>
      <c r="E5" s="11">
        <v>0</v>
      </c>
      <c r="F5" s="11">
        <v>9</v>
      </c>
      <c r="G5" s="11">
        <v>29</v>
      </c>
      <c r="H5" s="11">
        <v>1</v>
      </c>
      <c r="I5" s="11">
        <v>1020</v>
      </c>
      <c r="J5" s="11">
        <v>15</v>
      </c>
      <c r="K5" s="10">
        <f t="shared" si="0"/>
        <v>0.53</v>
      </c>
      <c r="L5" s="12">
        <f t="shared" si="1"/>
        <v>0</v>
      </c>
      <c r="M5" s="12">
        <f t="shared" si="2"/>
        <v>0</v>
      </c>
      <c r="N5" s="10">
        <f t="shared" si="3"/>
        <v>0.6</v>
      </c>
      <c r="O5" s="10">
        <f t="shared" si="4"/>
        <v>1.93</v>
      </c>
      <c r="P5" s="10">
        <f t="shared" si="5"/>
        <v>7.0000000000000007E-2</v>
      </c>
      <c r="Q5" s="10">
        <f t="shared" si="6"/>
        <v>0.89</v>
      </c>
      <c r="R5" s="10">
        <f t="shared" si="7"/>
        <v>87.5</v>
      </c>
      <c r="S5" s="10">
        <f t="shared" si="8"/>
        <v>68</v>
      </c>
      <c r="T5" s="11" t="s">
        <v>43</v>
      </c>
      <c r="U5" s="11" t="s">
        <v>25</v>
      </c>
      <c r="V5" s="1">
        <f t="shared" si="9"/>
        <v>0.98477906976744189</v>
      </c>
    </row>
    <row r="6" spans="1:22" x14ac:dyDescent="0.25">
      <c r="A6" s="40" t="s">
        <v>30</v>
      </c>
      <c r="B6" s="13">
        <v>18</v>
      </c>
      <c r="C6" s="13">
        <v>8</v>
      </c>
      <c r="D6" s="13">
        <v>7</v>
      </c>
      <c r="E6" s="13">
        <v>1</v>
      </c>
      <c r="F6" s="13">
        <v>9</v>
      </c>
      <c r="G6" s="13">
        <v>0</v>
      </c>
      <c r="H6" s="13">
        <v>4</v>
      </c>
      <c r="I6" s="13">
        <v>2299</v>
      </c>
      <c r="J6" s="13">
        <v>20</v>
      </c>
      <c r="K6" s="13">
        <f t="shared" si="0"/>
        <v>0.9</v>
      </c>
      <c r="L6" s="14">
        <f t="shared" si="1"/>
        <v>0.05</v>
      </c>
      <c r="M6" s="14">
        <f t="shared" si="2"/>
        <v>0.35</v>
      </c>
      <c r="N6" s="13">
        <f t="shared" si="3"/>
        <v>0.45</v>
      </c>
      <c r="O6" s="13">
        <f t="shared" si="4"/>
        <v>0</v>
      </c>
      <c r="P6" s="13">
        <f t="shared" si="5"/>
        <v>0.2</v>
      </c>
      <c r="Q6" s="13">
        <f t="shared" si="6"/>
        <v>2</v>
      </c>
      <c r="R6" s="13">
        <f t="shared" si="7"/>
        <v>44.440000000000005</v>
      </c>
      <c r="S6" s="13">
        <f t="shared" si="8"/>
        <v>114.95</v>
      </c>
      <c r="T6" s="15" t="s">
        <v>43</v>
      </c>
      <c r="U6" s="16" t="s">
        <v>25</v>
      </c>
      <c r="V6" s="1">
        <f t="shared" si="9"/>
        <v>1.6421511627906977</v>
      </c>
    </row>
    <row r="7" spans="1:22" x14ac:dyDescent="0.25">
      <c r="A7" s="40" t="s">
        <v>31</v>
      </c>
      <c r="B7" s="13">
        <v>7</v>
      </c>
      <c r="C7" s="13">
        <v>3</v>
      </c>
      <c r="D7" s="13">
        <v>1</v>
      </c>
      <c r="E7" s="13">
        <v>0</v>
      </c>
      <c r="F7" s="13">
        <v>11</v>
      </c>
      <c r="G7" s="13">
        <v>78</v>
      </c>
      <c r="H7" s="13">
        <v>0</v>
      </c>
      <c r="I7" s="13">
        <v>986</v>
      </c>
      <c r="J7" s="13">
        <v>20</v>
      </c>
      <c r="K7" s="13">
        <f t="shared" si="0"/>
        <v>0.35</v>
      </c>
      <c r="L7" s="14">
        <f t="shared" si="1"/>
        <v>0</v>
      </c>
      <c r="M7" s="14">
        <f t="shared" si="2"/>
        <v>0.05</v>
      </c>
      <c r="N7" s="13">
        <f t="shared" si="3"/>
        <v>0.55000000000000004</v>
      </c>
      <c r="O7" s="13">
        <f t="shared" si="4"/>
        <v>3.9</v>
      </c>
      <c r="P7" s="13">
        <f t="shared" si="5"/>
        <v>0</v>
      </c>
      <c r="Q7" s="13">
        <f t="shared" si="6"/>
        <v>0.64</v>
      </c>
      <c r="R7" s="13">
        <f t="shared" si="7"/>
        <v>42.86</v>
      </c>
      <c r="S7" s="13">
        <f t="shared" si="8"/>
        <v>49.3</v>
      </c>
      <c r="T7" s="15" t="s">
        <v>43</v>
      </c>
      <c r="U7" s="16" t="s">
        <v>25</v>
      </c>
      <c r="V7" s="1">
        <f t="shared" si="9"/>
        <v>0.86680232558139525</v>
      </c>
    </row>
    <row r="8" spans="1:22" x14ac:dyDescent="0.25">
      <c r="A8" s="41" t="s">
        <v>34</v>
      </c>
      <c r="B8" s="18">
        <v>12</v>
      </c>
      <c r="C8" s="18">
        <v>10</v>
      </c>
      <c r="D8" s="17">
        <v>5</v>
      </c>
      <c r="E8" s="18">
        <v>3</v>
      </c>
      <c r="F8" s="18">
        <v>9</v>
      </c>
      <c r="G8" s="18">
        <v>16</v>
      </c>
      <c r="H8" s="18">
        <v>4</v>
      </c>
      <c r="I8" s="18">
        <v>1260</v>
      </c>
      <c r="J8" s="18">
        <v>15</v>
      </c>
      <c r="K8" s="17">
        <f t="shared" si="0"/>
        <v>0.8</v>
      </c>
      <c r="L8" s="19">
        <f t="shared" si="1"/>
        <v>0.2</v>
      </c>
      <c r="M8" s="19">
        <f t="shared" si="2"/>
        <v>0.33333333333333331</v>
      </c>
      <c r="N8" s="17">
        <f t="shared" si="3"/>
        <v>0.6</v>
      </c>
      <c r="O8" s="17">
        <f t="shared" si="4"/>
        <v>1.07</v>
      </c>
      <c r="P8" s="17">
        <f t="shared" si="5"/>
        <v>0.27</v>
      </c>
      <c r="Q8" s="17">
        <f t="shared" si="6"/>
        <v>1.33</v>
      </c>
      <c r="R8" s="17">
        <f t="shared" si="7"/>
        <v>83.33</v>
      </c>
      <c r="S8" s="17">
        <f t="shared" si="8"/>
        <v>84</v>
      </c>
      <c r="T8" s="18" t="s">
        <v>43</v>
      </c>
      <c r="U8" s="18" t="s">
        <v>25</v>
      </c>
      <c r="V8" s="1">
        <f t="shared" si="9"/>
        <v>1.327531007751938</v>
      </c>
    </row>
    <row r="9" spans="1:22" x14ac:dyDescent="0.25">
      <c r="A9" s="41" t="s">
        <v>22</v>
      </c>
      <c r="B9" s="17">
        <v>3</v>
      </c>
      <c r="C9" s="17">
        <v>0</v>
      </c>
      <c r="D9" s="17">
        <v>0</v>
      </c>
      <c r="E9" s="18">
        <v>0</v>
      </c>
      <c r="F9" s="18">
        <v>13</v>
      </c>
      <c r="G9" s="18">
        <v>27</v>
      </c>
      <c r="H9" s="18">
        <v>3</v>
      </c>
      <c r="I9" s="18">
        <v>380</v>
      </c>
      <c r="J9" s="18">
        <v>15</v>
      </c>
      <c r="K9" s="17">
        <f t="shared" si="0"/>
        <v>0.2</v>
      </c>
      <c r="L9" s="19">
        <f t="shared" si="1"/>
        <v>0</v>
      </c>
      <c r="M9" s="19">
        <f t="shared" si="2"/>
        <v>0</v>
      </c>
      <c r="N9" s="17">
        <f t="shared" si="3"/>
        <v>0.87</v>
      </c>
      <c r="O9" s="17">
        <f t="shared" si="4"/>
        <v>1.8</v>
      </c>
      <c r="P9" s="17">
        <f t="shared" si="5"/>
        <v>0.2</v>
      </c>
      <c r="Q9" s="17">
        <f t="shared" si="6"/>
        <v>0.23</v>
      </c>
      <c r="R9" s="17">
        <f t="shared" si="7"/>
        <v>0</v>
      </c>
      <c r="S9" s="17">
        <f t="shared" si="8"/>
        <v>25.33</v>
      </c>
      <c r="T9" s="18" t="s">
        <v>43</v>
      </c>
      <c r="U9" s="18" t="s">
        <v>25</v>
      </c>
      <c r="V9" s="1">
        <f t="shared" si="9"/>
        <v>0.35781395348837208</v>
      </c>
    </row>
    <row r="10" spans="1:22" x14ac:dyDescent="0.25">
      <c r="A10" s="42" t="s">
        <v>23</v>
      </c>
      <c r="B10" s="20">
        <v>9</v>
      </c>
      <c r="C10" s="20">
        <v>6</v>
      </c>
      <c r="D10" s="20">
        <v>2</v>
      </c>
      <c r="E10" s="20">
        <v>1</v>
      </c>
      <c r="F10" s="20">
        <v>17</v>
      </c>
      <c r="G10" s="20">
        <v>59</v>
      </c>
      <c r="H10" s="20">
        <v>3</v>
      </c>
      <c r="I10" s="20">
        <v>1235</v>
      </c>
      <c r="J10" s="20">
        <v>25</v>
      </c>
      <c r="K10" s="20">
        <f t="shared" si="0"/>
        <v>0.36</v>
      </c>
      <c r="L10" s="21">
        <f t="shared" si="1"/>
        <v>0.04</v>
      </c>
      <c r="M10" s="21">
        <f t="shared" si="2"/>
        <v>0.08</v>
      </c>
      <c r="N10" s="20">
        <f t="shared" si="3"/>
        <v>0.68</v>
      </c>
      <c r="O10" s="20">
        <f t="shared" si="4"/>
        <v>2.36</v>
      </c>
      <c r="P10" s="20">
        <f t="shared" si="5"/>
        <v>0.12</v>
      </c>
      <c r="Q10" s="20">
        <f t="shared" si="6"/>
        <v>0.53</v>
      </c>
      <c r="R10" s="20">
        <f t="shared" si="7"/>
        <v>66.67</v>
      </c>
      <c r="S10" s="20">
        <f t="shared" si="8"/>
        <v>49.4</v>
      </c>
      <c r="T10" s="20" t="s">
        <v>43</v>
      </c>
      <c r="U10" s="20" t="s">
        <v>25</v>
      </c>
      <c r="V10" s="1">
        <f t="shared" si="9"/>
        <v>0.76376744186046497</v>
      </c>
    </row>
    <row r="11" spans="1:22" x14ac:dyDescent="0.25">
      <c r="A11" s="42" t="s">
        <v>24</v>
      </c>
      <c r="B11" s="20">
        <v>10</v>
      </c>
      <c r="C11" s="20">
        <v>5</v>
      </c>
      <c r="D11" s="20">
        <v>2</v>
      </c>
      <c r="E11" s="20">
        <v>1</v>
      </c>
      <c r="F11" s="20">
        <v>19</v>
      </c>
      <c r="G11" s="20">
        <v>0</v>
      </c>
      <c r="H11" s="20">
        <v>4</v>
      </c>
      <c r="I11" s="20">
        <v>1299</v>
      </c>
      <c r="J11" s="20">
        <v>25</v>
      </c>
      <c r="K11" s="20">
        <f t="shared" si="0"/>
        <v>0.4</v>
      </c>
      <c r="L11" s="21">
        <f t="shared" si="1"/>
        <v>0.04</v>
      </c>
      <c r="M11" s="21">
        <f t="shared" si="2"/>
        <v>0.08</v>
      </c>
      <c r="N11" s="20">
        <f t="shared" si="3"/>
        <v>0.76</v>
      </c>
      <c r="O11" s="20">
        <f t="shared" si="4"/>
        <v>0</v>
      </c>
      <c r="P11" s="20">
        <f t="shared" si="5"/>
        <v>0.16</v>
      </c>
      <c r="Q11" s="20">
        <f t="shared" si="6"/>
        <v>0.53</v>
      </c>
      <c r="R11" s="20">
        <f t="shared" si="7"/>
        <v>50</v>
      </c>
      <c r="S11" s="20">
        <f t="shared" si="8"/>
        <v>51.96</v>
      </c>
      <c r="T11" s="20" t="s">
        <v>43</v>
      </c>
      <c r="U11" s="20" t="s">
        <v>25</v>
      </c>
      <c r="V11" s="1">
        <f t="shared" si="9"/>
        <v>0.71767441860465109</v>
      </c>
    </row>
    <row r="12" spans="1:22" x14ac:dyDescent="0.25">
      <c r="A12" s="43" t="s">
        <v>35</v>
      </c>
      <c r="B12" s="22">
        <v>20</v>
      </c>
      <c r="C12" s="22">
        <v>17</v>
      </c>
      <c r="D12" s="22">
        <v>7</v>
      </c>
      <c r="E12" s="22">
        <v>4</v>
      </c>
      <c r="F12" s="22">
        <v>24</v>
      </c>
      <c r="G12" s="22">
        <v>0</v>
      </c>
      <c r="H12" s="22">
        <v>3</v>
      </c>
      <c r="I12" s="22">
        <v>1890</v>
      </c>
      <c r="J12" s="22">
        <v>35</v>
      </c>
      <c r="K12" s="23">
        <f t="shared" si="0"/>
        <v>0.56999999999999995</v>
      </c>
      <c r="L12" s="24">
        <f t="shared" si="1"/>
        <v>0.11428571428571428</v>
      </c>
      <c r="M12" s="24">
        <f t="shared" si="2"/>
        <v>0.2</v>
      </c>
      <c r="N12" s="23">
        <f t="shared" si="3"/>
        <v>0.69</v>
      </c>
      <c r="O12" s="23">
        <f t="shared" si="4"/>
        <v>0</v>
      </c>
      <c r="P12" s="23">
        <f t="shared" si="5"/>
        <v>0.09</v>
      </c>
      <c r="Q12" s="23">
        <f t="shared" si="6"/>
        <v>0.83</v>
      </c>
      <c r="R12" s="23">
        <f t="shared" si="7"/>
        <v>85</v>
      </c>
      <c r="S12" s="23">
        <f t="shared" si="8"/>
        <v>54</v>
      </c>
      <c r="T12" s="25" t="s">
        <v>43</v>
      </c>
      <c r="U12" s="25" t="s">
        <v>25</v>
      </c>
      <c r="V12" s="1">
        <f t="shared" si="9"/>
        <v>0.92351993355481732</v>
      </c>
    </row>
    <row r="13" spans="1:22" x14ac:dyDescent="0.25">
      <c r="A13" s="43" t="s">
        <v>36</v>
      </c>
      <c r="B13" s="22">
        <v>17</v>
      </c>
      <c r="C13" s="22">
        <v>7</v>
      </c>
      <c r="D13" s="22">
        <v>5</v>
      </c>
      <c r="E13" s="22">
        <v>2</v>
      </c>
      <c r="F13" s="22">
        <v>26</v>
      </c>
      <c r="G13" s="22">
        <v>48</v>
      </c>
      <c r="H13" s="22">
        <v>10</v>
      </c>
      <c r="I13" s="22">
        <v>2415</v>
      </c>
      <c r="J13" s="22">
        <v>35</v>
      </c>
      <c r="K13" s="23">
        <f t="shared" si="0"/>
        <v>0.49</v>
      </c>
      <c r="L13" s="24">
        <f t="shared" si="1"/>
        <v>5.7142857142857141E-2</v>
      </c>
      <c r="M13" s="24">
        <f t="shared" si="2"/>
        <v>0.14285714285714285</v>
      </c>
      <c r="N13" s="23">
        <f t="shared" si="3"/>
        <v>0.74</v>
      </c>
      <c r="O13" s="23">
        <f t="shared" si="4"/>
        <v>1.37</v>
      </c>
      <c r="P13" s="23">
        <f t="shared" si="5"/>
        <v>0.28999999999999998</v>
      </c>
      <c r="Q13" s="23">
        <f t="shared" si="6"/>
        <v>0.65</v>
      </c>
      <c r="R13" s="23">
        <f t="shared" si="7"/>
        <v>41.18</v>
      </c>
      <c r="S13" s="23">
        <f t="shared" si="8"/>
        <v>69</v>
      </c>
      <c r="T13" s="25" t="s">
        <v>43</v>
      </c>
      <c r="U13" s="25" t="s">
        <v>25</v>
      </c>
      <c r="V13" s="1">
        <f t="shared" si="9"/>
        <v>0.88757308970099669</v>
      </c>
    </row>
    <row r="14" spans="1:22" x14ac:dyDescent="0.25">
      <c r="A14" s="44" t="s">
        <v>37</v>
      </c>
      <c r="B14" s="26">
        <v>3</v>
      </c>
      <c r="C14" s="26">
        <v>2</v>
      </c>
      <c r="D14" s="26">
        <v>0</v>
      </c>
      <c r="E14" s="26">
        <v>0</v>
      </c>
      <c r="F14" s="26">
        <v>9</v>
      </c>
      <c r="G14" s="26">
        <v>8</v>
      </c>
      <c r="H14" s="26">
        <v>0</v>
      </c>
      <c r="I14" s="26">
        <v>550</v>
      </c>
      <c r="J14" s="26">
        <v>10</v>
      </c>
      <c r="K14" s="27">
        <f t="shared" si="0"/>
        <v>0.3</v>
      </c>
      <c r="L14" s="28">
        <f t="shared" si="1"/>
        <v>0</v>
      </c>
      <c r="M14" s="28">
        <f t="shared" si="2"/>
        <v>0</v>
      </c>
      <c r="N14" s="27">
        <f t="shared" si="3"/>
        <v>0.9</v>
      </c>
      <c r="O14" s="27">
        <f t="shared" si="4"/>
        <v>0.8</v>
      </c>
      <c r="P14" s="27">
        <f t="shared" si="5"/>
        <v>0</v>
      </c>
      <c r="Q14" s="27">
        <f t="shared" si="6"/>
        <v>0.33</v>
      </c>
      <c r="R14" s="27">
        <f t="shared" si="7"/>
        <v>66.67</v>
      </c>
      <c r="S14" s="27">
        <f t="shared" si="8"/>
        <v>55</v>
      </c>
      <c r="T14" s="27" t="s">
        <v>43</v>
      </c>
      <c r="U14" s="27" t="s">
        <v>25</v>
      </c>
      <c r="V14" s="1">
        <f t="shared" si="9"/>
        <v>0.5058139534883721</v>
      </c>
    </row>
    <row r="15" spans="1:22" x14ac:dyDescent="0.25">
      <c r="A15" s="44" t="s">
        <v>26</v>
      </c>
      <c r="B15" s="26">
        <v>3</v>
      </c>
      <c r="C15" s="26">
        <v>1</v>
      </c>
      <c r="D15" s="26">
        <v>1</v>
      </c>
      <c r="E15" s="26">
        <v>0</v>
      </c>
      <c r="F15" s="26">
        <v>9</v>
      </c>
      <c r="G15" s="27">
        <v>0</v>
      </c>
      <c r="H15" s="26">
        <v>1</v>
      </c>
      <c r="I15" s="26">
        <v>400</v>
      </c>
      <c r="J15" s="26">
        <v>10</v>
      </c>
      <c r="K15" s="27">
        <f t="shared" si="0"/>
        <v>0.3</v>
      </c>
      <c r="L15" s="28">
        <f t="shared" si="1"/>
        <v>0</v>
      </c>
      <c r="M15" s="28">
        <f t="shared" si="2"/>
        <v>0.1</v>
      </c>
      <c r="N15" s="27">
        <f t="shared" si="3"/>
        <v>0.9</v>
      </c>
      <c r="O15" s="27">
        <f t="shared" si="4"/>
        <v>0</v>
      </c>
      <c r="P15" s="27">
        <f t="shared" si="5"/>
        <v>0.1</v>
      </c>
      <c r="Q15" s="27">
        <f t="shared" si="6"/>
        <v>0.33</v>
      </c>
      <c r="R15" s="27">
        <f t="shared" si="7"/>
        <v>33.33</v>
      </c>
      <c r="S15" s="27">
        <f t="shared" si="8"/>
        <v>40</v>
      </c>
      <c r="T15" s="27" t="s">
        <v>43</v>
      </c>
      <c r="U15" s="27" t="s">
        <v>25</v>
      </c>
      <c r="V15" s="1">
        <f t="shared" si="9"/>
        <v>0.46604651162790689</v>
      </c>
    </row>
    <row r="16" spans="1:22" x14ac:dyDescent="0.25">
      <c r="A16" s="45" t="s">
        <v>38</v>
      </c>
      <c r="B16" s="29">
        <v>24</v>
      </c>
      <c r="C16" s="29">
        <v>14</v>
      </c>
      <c r="D16" s="29">
        <v>3</v>
      </c>
      <c r="E16" s="29">
        <v>3</v>
      </c>
      <c r="F16" s="29">
        <v>16</v>
      </c>
      <c r="G16" s="29">
        <v>24</v>
      </c>
      <c r="H16" s="29">
        <v>6</v>
      </c>
      <c r="I16" s="29">
        <v>2848</v>
      </c>
      <c r="J16" s="29">
        <v>32</v>
      </c>
      <c r="K16" s="30">
        <f t="shared" si="0"/>
        <v>0.75</v>
      </c>
      <c r="L16" s="31">
        <f t="shared" si="1"/>
        <v>9.375E-2</v>
      </c>
      <c r="M16" s="31">
        <f t="shared" si="2"/>
        <v>9.375E-2</v>
      </c>
      <c r="N16" s="30">
        <f t="shared" si="3"/>
        <v>0.5</v>
      </c>
      <c r="O16" s="30">
        <f t="shared" si="4"/>
        <v>0.75</v>
      </c>
      <c r="P16" s="30">
        <f t="shared" si="5"/>
        <v>0.19</v>
      </c>
      <c r="Q16" s="30">
        <f t="shared" si="6"/>
        <v>1.5</v>
      </c>
      <c r="R16" s="30">
        <f t="shared" si="7"/>
        <v>58.330000000000005</v>
      </c>
      <c r="S16" s="30">
        <f t="shared" si="8"/>
        <v>89</v>
      </c>
      <c r="T16" s="29" t="s">
        <v>43</v>
      </c>
      <c r="U16" s="29" t="s">
        <v>25</v>
      </c>
      <c r="V16" s="1">
        <f t="shared" si="9"/>
        <v>1.3406409883720931</v>
      </c>
    </row>
    <row r="17" spans="1:22" x14ac:dyDescent="0.25">
      <c r="A17" s="45" t="s">
        <v>39</v>
      </c>
      <c r="B17" s="29">
        <v>19</v>
      </c>
      <c r="C17" s="29">
        <v>4</v>
      </c>
      <c r="D17" s="29">
        <v>3</v>
      </c>
      <c r="E17" s="29">
        <v>0</v>
      </c>
      <c r="F17" s="29">
        <v>21</v>
      </c>
      <c r="G17" s="29">
        <v>77</v>
      </c>
      <c r="H17" s="29">
        <v>9</v>
      </c>
      <c r="I17" s="29">
        <v>2096</v>
      </c>
      <c r="J17" s="29">
        <v>32</v>
      </c>
      <c r="K17" s="30">
        <f t="shared" si="0"/>
        <v>0.59</v>
      </c>
      <c r="L17" s="31">
        <f t="shared" si="1"/>
        <v>0</v>
      </c>
      <c r="M17" s="31">
        <f t="shared" si="2"/>
        <v>9.375E-2</v>
      </c>
      <c r="N17" s="30">
        <f t="shared" si="3"/>
        <v>0.66</v>
      </c>
      <c r="O17" s="30">
        <f t="shared" si="4"/>
        <v>2.41</v>
      </c>
      <c r="P17" s="30">
        <f t="shared" si="5"/>
        <v>0.28000000000000003</v>
      </c>
      <c r="Q17" s="30">
        <f t="shared" si="6"/>
        <v>0.9</v>
      </c>
      <c r="R17" s="30">
        <f t="shared" si="7"/>
        <v>21.05</v>
      </c>
      <c r="S17" s="30">
        <f t="shared" si="8"/>
        <v>65.5</v>
      </c>
      <c r="T17" s="29" t="s">
        <v>43</v>
      </c>
      <c r="U17" s="29" t="s">
        <v>25</v>
      </c>
      <c r="V17" s="1">
        <f t="shared" si="9"/>
        <v>0.97708866279069762</v>
      </c>
    </row>
    <row r="18" spans="1:22" x14ac:dyDescent="0.25">
      <c r="A18" s="46" t="s">
        <v>40</v>
      </c>
      <c r="B18" s="32">
        <v>14</v>
      </c>
      <c r="C18" s="32">
        <v>7</v>
      </c>
      <c r="D18" s="32">
        <v>3</v>
      </c>
      <c r="E18" s="32">
        <v>1</v>
      </c>
      <c r="F18" s="32">
        <v>5</v>
      </c>
      <c r="G18" s="32">
        <v>150</v>
      </c>
      <c r="H18" s="32">
        <v>1</v>
      </c>
      <c r="I18" s="32">
        <v>1652</v>
      </c>
      <c r="J18" s="32">
        <v>14</v>
      </c>
      <c r="K18" s="33">
        <f t="shared" si="0"/>
        <v>1</v>
      </c>
      <c r="L18" s="34">
        <f t="shared" si="1"/>
        <v>7.1428571428571425E-2</v>
      </c>
      <c r="M18" s="34">
        <f t="shared" si="2"/>
        <v>0.21428571428571427</v>
      </c>
      <c r="N18" s="33">
        <f t="shared" si="3"/>
        <v>0.36</v>
      </c>
      <c r="O18" s="33">
        <f t="shared" si="4"/>
        <v>10.71</v>
      </c>
      <c r="P18" s="33">
        <f t="shared" si="5"/>
        <v>7.0000000000000007E-2</v>
      </c>
      <c r="Q18" s="33">
        <f t="shared" si="6"/>
        <v>2.8</v>
      </c>
      <c r="R18" s="33">
        <f t="shared" si="7"/>
        <v>50</v>
      </c>
      <c r="S18" s="33">
        <f t="shared" si="8"/>
        <v>118</v>
      </c>
      <c r="T18" s="32" t="s">
        <v>43</v>
      </c>
      <c r="U18" s="32" t="s">
        <v>25</v>
      </c>
      <c r="V18" s="1">
        <f t="shared" si="9"/>
        <v>1.7601943521594685</v>
      </c>
    </row>
    <row r="19" spans="1:22" x14ac:dyDescent="0.25">
      <c r="A19" s="46" t="s">
        <v>41</v>
      </c>
      <c r="B19" s="32">
        <v>8</v>
      </c>
      <c r="C19" s="32">
        <v>4</v>
      </c>
      <c r="D19" s="32">
        <v>0</v>
      </c>
      <c r="E19" s="32">
        <v>0</v>
      </c>
      <c r="F19" s="32">
        <v>8</v>
      </c>
      <c r="G19" s="32">
        <v>54</v>
      </c>
      <c r="H19" s="32">
        <v>2</v>
      </c>
      <c r="I19" s="32">
        <v>798</v>
      </c>
      <c r="J19" s="32">
        <v>14</v>
      </c>
      <c r="K19" s="33">
        <f t="shared" si="0"/>
        <v>0.56999999999999995</v>
      </c>
      <c r="L19" s="34">
        <f t="shared" si="1"/>
        <v>0</v>
      </c>
      <c r="M19" s="34">
        <f t="shared" si="2"/>
        <v>0</v>
      </c>
      <c r="N19" s="33">
        <f t="shared" si="3"/>
        <v>0.56999999999999995</v>
      </c>
      <c r="O19" s="33">
        <f t="shared" si="4"/>
        <v>3.86</v>
      </c>
      <c r="P19" s="33">
        <f t="shared" si="5"/>
        <v>0.14000000000000001</v>
      </c>
      <c r="Q19" s="33">
        <f t="shared" si="6"/>
        <v>1</v>
      </c>
      <c r="R19" s="33">
        <f t="shared" si="7"/>
        <v>50</v>
      </c>
      <c r="S19" s="33">
        <f t="shared" si="8"/>
        <v>57</v>
      </c>
      <c r="T19" s="32" t="s">
        <v>43</v>
      </c>
      <c r="U19" s="32" t="s">
        <v>25</v>
      </c>
      <c r="V19" s="1">
        <f t="shared" si="9"/>
        <v>0.9871162790697674</v>
      </c>
    </row>
    <row r="20" spans="1:22" x14ac:dyDescent="0.25">
      <c r="A20" s="47" t="s">
        <v>42</v>
      </c>
      <c r="B20" s="35">
        <v>20</v>
      </c>
      <c r="C20" s="35">
        <v>9</v>
      </c>
      <c r="D20" s="35">
        <v>6</v>
      </c>
      <c r="E20" s="35">
        <v>1</v>
      </c>
      <c r="F20" s="35">
        <v>14</v>
      </c>
      <c r="G20" s="35">
        <v>21</v>
      </c>
      <c r="H20" s="35">
        <v>7</v>
      </c>
      <c r="I20" s="35">
        <v>2168</v>
      </c>
      <c r="J20" s="35">
        <v>26</v>
      </c>
      <c r="K20" s="36">
        <f t="shared" si="0"/>
        <v>0.77</v>
      </c>
      <c r="L20" s="37">
        <f t="shared" si="1"/>
        <v>3.8461538461538464E-2</v>
      </c>
      <c r="M20" s="37">
        <f t="shared" si="2"/>
        <v>0.23076923076923078</v>
      </c>
      <c r="N20" s="36">
        <f t="shared" si="3"/>
        <v>0.54</v>
      </c>
      <c r="O20" s="36">
        <f t="shared" si="4"/>
        <v>0.81</v>
      </c>
      <c r="P20" s="36">
        <f t="shared" si="5"/>
        <v>0.27</v>
      </c>
      <c r="Q20" s="36">
        <f t="shared" si="6"/>
        <v>1.43</v>
      </c>
      <c r="R20" s="36">
        <f t="shared" si="7"/>
        <v>45</v>
      </c>
      <c r="S20" s="36">
        <f t="shared" si="8"/>
        <v>83.38</v>
      </c>
      <c r="T20" s="35" t="s">
        <v>43</v>
      </c>
      <c r="U20" s="35" t="s">
        <v>25</v>
      </c>
      <c r="V20" s="1">
        <f t="shared" si="9"/>
        <v>1.3116985688729874</v>
      </c>
    </row>
    <row r="21" spans="1:22" x14ac:dyDescent="0.25">
      <c r="A21" s="47" t="s">
        <v>27</v>
      </c>
      <c r="B21" s="35">
        <v>16</v>
      </c>
      <c r="C21" s="35">
        <v>7</v>
      </c>
      <c r="D21" s="35">
        <v>4</v>
      </c>
      <c r="E21" s="35">
        <v>2</v>
      </c>
      <c r="F21" s="35">
        <v>16</v>
      </c>
      <c r="G21" s="35">
        <v>30</v>
      </c>
      <c r="H21" s="35">
        <v>1</v>
      </c>
      <c r="I21" s="35">
        <v>1758</v>
      </c>
      <c r="J21" s="35">
        <v>26</v>
      </c>
      <c r="K21" s="36">
        <f t="shared" si="0"/>
        <v>0.62</v>
      </c>
      <c r="L21" s="37">
        <f t="shared" si="1"/>
        <v>7.6923076923076927E-2</v>
      </c>
      <c r="M21" s="37">
        <f t="shared" si="2"/>
        <v>0.15384615384615385</v>
      </c>
      <c r="N21" s="36">
        <f t="shared" si="3"/>
        <v>0.62</v>
      </c>
      <c r="O21" s="36">
        <f t="shared" si="4"/>
        <v>1.1499999999999999</v>
      </c>
      <c r="P21" s="36">
        <f t="shared" si="5"/>
        <v>0.04</v>
      </c>
      <c r="Q21" s="36">
        <f t="shared" si="6"/>
        <v>1</v>
      </c>
      <c r="R21" s="36">
        <f t="shared" si="7"/>
        <v>43.75</v>
      </c>
      <c r="S21" s="36">
        <f t="shared" si="8"/>
        <v>67.62</v>
      </c>
      <c r="T21" s="35" t="s">
        <v>43</v>
      </c>
      <c r="U21" s="35" t="s">
        <v>25</v>
      </c>
      <c r="V21" s="1">
        <f t="shared" si="9"/>
        <v>1.0603577817531307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2026-01-28T14:09:48Z</dcterms:created>
  <dcterms:modified xsi:type="dcterms:W3CDTF">2026-02-11T15:13:56Z</dcterms:modified>
</cp:coreProperties>
</file>