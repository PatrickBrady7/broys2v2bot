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6123615\Documents\pyroject\"/>
    </mc:Choice>
  </mc:AlternateContent>
  <xr:revisionPtr revIDLastSave="0" documentId="13_ncr:1_{CD717005-AA16-4174-8D22-3D5C61F0461F}" xr6:coauthVersionLast="47" xr6:coauthVersionMax="47" xr10:uidLastSave="{00000000-0000-0000-0000-000000000000}"/>
  <bookViews>
    <workbookView xWindow="5550" yWindow="4290" windowWidth="28800" windowHeight="15345" xr2:uid="{44E8176A-B14F-4FEE-87B9-53CEBFA849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M22" i="1"/>
  <c r="N22" i="1"/>
  <c r="O22" i="1"/>
  <c r="P22" i="1"/>
  <c r="Q22" i="1"/>
  <c r="R22" i="1"/>
  <c r="S22" i="1"/>
  <c r="V22" i="1" l="1"/>
  <c r="S12" i="1"/>
  <c r="L10" i="1"/>
  <c r="S13" i="1" l="1"/>
  <c r="R13" i="1"/>
  <c r="Q13" i="1"/>
  <c r="P13" i="1"/>
  <c r="O13" i="1"/>
  <c r="N13" i="1"/>
  <c r="M13" i="1"/>
  <c r="L13" i="1"/>
  <c r="K13" i="1"/>
  <c r="R12" i="1"/>
  <c r="Q12" i="1"/>
  <c r="P12" i="1"/>
  <c r="O12" i="1"/>
  <c r="N12" i="1"/>
  <c r="M12" i="1"/>
  <c r="L12" i="1"/>
  <c r="K12" i="1"/>
  <c r="S7" i="1"/>
  <c r="R7" i="1"/>
  <c r="Q7" i="1"/>
  <c r="P7" i="1"/>
  <c r="O7" i="1"/>
  <c r="N7" i="1"/>
  <c r="M7" i="1"/>
  <c r="L7" i="1"/>
  <c r="K7" i="1"/>
  <c r="S6" i="1"/>
  <c r="R6" i="1"/>
  <c r="Q6" i="1"/>
  <c r="P6" i="1"/>
  <c r="O6" i="1"/>
  <c r="N6" i="1"/>
  <c r="M6" i="1"/>
  <c r="L6" i="1"/>
  <c r="K6" i="1"/>
  <c r="S11" i="1"/>
  <c r="R11" i="1"/>
  <c r="Q11" i="1"/>
  <c r="P11" i="1"/>
  <c r="O11" i="1"/>
  <c r="N11" i="1"/>
  <c r="M11" i="1"/>
  <c r="L11" i="1"/>
  <c r="K11" i="1"/>
  <c r="S10" i="1"/>
  <c r="R10" i="1"/>
  <c r="Q10" i="1"/>
  <c r="P10" i="1"/>
  <c r="O10" i="1"/>
  <c r="N10" i="1"/>
  <c r="M10" i="1"/>
  <c r="K10" i="1"/>
  <c r="K2" i="1"/>
  <c r="L2" i="1"/>
  <c r="M2" i="1"/>
  <c r="N2" i="1"/>
  <c r="O2" i="1"/>
  <c r="P2" i="1"/>
  <c r="Q2" i="1"/>
  <c r="K3" i="1"/>
  <c r="L3" i="1"/>
  <c r="M3" i="1"/>
  <c r="N3" i="1"/>
  <c r="O3" i="1"/>
  <c r="P3" i="1"/>
  <c r="Q3" i="1"/>
  <c r="K4" i="1"/>
  <c r="L4" i="1"/>
  <c r="M4" i="1"/>
  <c r="N4" i="1"/>
  <c r="O4" i="1"/>
  <c r="P4" i="1"/>
  <c r="Q4" i="1"/>
  <c r="K5" i="1"/>
  <c r="L5" i="1"/>
  <c r="M5" i="1"/>
  <c r="N5" i="1"/>
  <c r="O5" i="1"/>
  <c r="P5" i="1"/>
  <c r="Q5" i="1"/>
  <c r="K8" i="1"/>
  <c r="L8" i="1"/>
  <c r="M8" i="1"/>
  <c r="N8" i="1"/>
  <c r="O8" i="1"/>
  <c r="P8" i="1"/>
  <c r="Q8" i="1"/>
  <c r="K9" i="1"/>
  <c r="L9" i="1"/>
  <c r="M9" i="1"/>
  <c r="N9" i="1"/>
  <c r="O9" i="1"/>
  <c r="P9" i="1"/>
  <c r="Q9" i="1"/>
  <c r="K21" i="1"/>
  <c r="L21" i="1"/>
  <c r="M21" i="1"/>
  <c r="N21" i="1"/>
  <c r="O21" i="1"/>
  <c r="P21" i="1"/>
  <c r="Q21" i="1"/>
  <c r="K20" i="1"/>
  <c r="L20" i="1"/>
  <c r="M20" i="1"/>
  <c r="N20" i="1"/>
  <c r="O20" i="1"/>
  <c r="P20" i="1"/>
  <c r="Q20" i="1"/>
  <c r="K18" i="1"/>
  <c r="L18" i="1"/>
  <c r="M18" i="1"/>
  <c r="N18" i="1"/>
  <c r="O18" i="1"/>
  <c r="P18" i="1"/>
  <c r="Q18" i="1"/>
  <c r="K19" i="1"/>
  <c r="L19" i="1"/>
  <c r="M19" i="1"/>
  <c r="N19" i="1"/>
  <c r="O19" i="1"/>
  <c r="P19" i="1"/>
  <c r="Q19" i="1"/>
  <c r="K14" i="1"/>
  <c r="L14" i="1"/>
  <c r="M14" i="1"/>
  <c r="N14" i="1"/>
  <c r="O14" i="1"/>
  <c r="P14" i="1"/>
  <c r="Q14" i="1"/>
  <c r="K15" i="1"/>
  <c r="L15" i="1"/>
  <c r="M15" i="1"/>
  <c r="N15" i="1"/>
  <c r="O15" i="1"/>
  <c r="P15" i="1"/>
  <c r="Q15" i="1"/>
  <c r="K16" i="1"/>
  <c r="L16" i="1"/>
  <c r="M16" i="1"/>
  <c r="N16" i="1"/>
  <c r="O16" i="1"/>
  <c r="P16" i="1"/>
  <c r="Q16" i="1"/>
  <c r="K17" i="1"/>
  <c r="L17" i="1"/>
  <c r="M17" i="1"/>
  <c r="N17" i="1"/>
  <c r="O17" i="1"/>
  <c r="P17" i="1"/>
  <c r="Q17" i="1"/>
  <c r="S17" i="1"/>
  <c r="R17" i="1"/>
  <c r="S16" i="1"/>
  <c r="R16" i="1"/>
  <c r="S15" i="1"/>
  <c r="R15" i="1"/>
  <c r="S14" i="1"/>
  <c r="R14" i="1"/>
  <c r="S19" i="1"/>
  <c r="R19" i="1"/>
  <c r="S18" i="1"/>
  <c r="R18" i="1"/>
  <c r="S20" i="1"/>
  <c r="R20" i="1"/>
  <c r="S21" i="1"/>
  <c r="R21" i="1"/>
  <c r="S9" i="1"/>
  <c r="R9" i="1"/>
  <c r="S8" i="1"/>
  <c r="R8" i="1"/>
  <c r="S5" i="1"/>
  <c r="R5" i="1"/>
  <c r="S4" i="1"/>
  <c r="R4" i="1"/>
  <c r="S3" i="1"/>
  <c r="R3" i="1"/>
  <c r="S2" i="1"/>
  <c r="R2" i="1"/>
  <c r="V9" i="1" l="1"/>
  <c r="V10" i="1"/>
  <c r="V8" i="1"/>
  <c r="V19" i="1"/>
  <c r="V11" i="1"/>
  <c r="V13" i="1"/>
  <c r="V17" i="1"/>
  <c r="V6" i="1"/>
  <c r="V15" i="1"/>
  <c r="V4" i="1"/>
  <c r="V14" i="1"/>
  <c r="V21" i="1"/>
  <c r="V20" i="1"/>
  <c r="V16" i="1"/>
  <c r="V2" i="1"/>
  <c r="V12" i="1"/>
  <c r="V5" i="1"/>
  <c r="V7" i="1"/>
  <c r="V18" i="1"/>
  <c r="V3" i="1"/>
</calcChain>
</file>

<file path=xl/sharedStrings.xml><?xml version="1.0" encoding="utf-8"?>
<sst xmlns="http://schemas.openxmlformats.org/spreadsheetml/2006/main" count="85" uniqueCount="48">
  <si>
    <t>player</t>
  </si>
  <si>
    <t>K</t>
  </si>
  <si>
    <t>HS</t>
  </si>
  <si>
    <t>MK</t>
  </si>
  <si>
    <t>1v2</t>
  </si>
  <si>
    <t>D</t>
  </si>
  <si>
    <t>UD</t>
  </si>
  <si>
    <t>EF</t>
  </si>
  <si>
    <t>DAM</t>
  </si>
  <si>
    <t>R</t>
  </si>
  <si>
    <t>KPR</t>
  </si>
  <si>
    <t>1v2PR</t>
  </si>
  <si>
    <t>MKPR</t>
  </si>
  <si>
    <t>DPR</t>
  </si>
  <si>
    <t>UDR</t>
  </si>
  <si>
    <t>EFR</t>
  </si>
  <si>
    <t>KD</t>
  </si>
  <si>
    <t>HS%</t>
  </si>
  <si>
    <t>ADR</t>
  </si>
  <si>
    <t>Placement</t>
  </si>
  <si>
    <t>Awards</t>
  </si>
  <si>
    <t>Jsad</t>
  </si>
  <si>
    <t>Danzo</t>
  </si>
  <si>
    <t>Hendo</t>
  </si>
  <si>
    <t>none</t>
  </si>
  <si>
    <t>Andy</t>
  </si>
  <si>
    <t>Dank</t>
  </si>
  <si>
    <t>WillP</t>
  </si>
  <si>
    <t>Berman</t>
  </si>
  <si>
    <t>Mythic</t>
  </si>
  <si>
    <t>DirtShiesty</t>
  </si>
  <si>
    <t>theod</t>
  </si>
  <si>
    <t>dwarriorIV</t>
  </si>
  <si>
    <t>Nos</t>
  </si>
  <si>
    <t>Drew</t>
  </si>
  <si>
    <t>ULTRA BEAST</t>
  </si>
  <si>
    <t>Sweaty</t>
  </si>
  <si>
    <t>HyperDonk</t>
  </si>
  <si>
    <t>Kyle</t>
  </si>
  <si>
    <t>Droid</t>
  </si>
  <si>
    <t>MaggotEatr</t>
  </si>
  <si>
    <t>dverad74</t>
  </si>
  <si>
    <t>10th</t>
  </si>
  <si>
    <t>PadRating1.2</t>
  </si>
  <si>
    <t>Dmah</t>
  </si>
  <si>
    <t>nth</t>
  </si>
  <si>
    <t>9th</t>
  </si>
  <si>
    <t>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</si>
</sst>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0"/>
      <name val="Aptos Narrow"/>
      <family val="2"/>
    </font>
    <font>
      <sz val="11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rgb="FF00B050"/>
      </patternFill>
    </fill>
    <fill>
      <patternFill patternType="solid">
        <fgColor rgb="FFF3A602"/>
        <bgColor indexed="64"/>
      </patternFill>
    </fill>
    <fill>
      <patternFill patternType="solid">
        <fgColor rgb="FFEF3E88"/>
        <bgColor indexed="64"/>
      </patternFill>
    </fill>
    <fill>
      <patternFill patternType="solid">
        <fgColor rgb="FF56260B"/>
        <bgColor indexed="64"/>
      </patternFill>
    </fill>
    <fill>
      <patternFill patternType="solid">
        <fgColor rgb="FF1A3C8E"/>
        <bgColor indexed="64"/>
      </patternFill>
    </fill>
    <fill>
      <patternFill patternType="solid">
        <fgColor rgb="FF0038B8"/>
        <bgColor indexed="64"/>
      </patternFill>
    </fill>
    <fill>
      <patternFill patternType="solid">
        <fgColor rgb="FF501C75"/>
        <bgColor indexed="64"/>
      </patternFill>
    </fill>
    <fill>
      <patternFill patternType="solid">
        <fgColor rgb="FF7D86E0"/>
        <bgColor indexed="64"/>
      </patternFill>
    </fill>
    <fill>
      <patternFill patternType="solid">
        <fgColor rgb="FFDF060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2" fontId="4" fillId="12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2" fontId="4" fillId="13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2" fontId="6" fillId="6" borderId="0" xfId="0" applyNumberFormat="1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2" fontId="4" fillId="11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2" fontId="6" fillId="7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2" fontId="6" fillId="8" borderId="0" xfId="0" applyNumberFormat="1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2" fontId="6" fillId="9" borderId="0" xfId="0" applyNumberFormat="1" applyFont="1" applyFill="1" applyAlignment="1">
      <alignment horizontal="center"/>
    </xf>
    <xf numFmtId="0" fontId="0" fillId="10" borderId="0" xfId="0" applyFill="1" applyAlignment="1">
      <alignment horizontal="center"/>
    </xf>
    <xf numFmtId="0" fontId="4" fillId="10" borderId="0" xfId="0" applyFont="1" applyFill="1" applyAlignment="1">
      <alignment horizontal="center"/>
    </xf>
    <xf numFmtId="2" fontId="4" fillId="10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4" fillId="12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13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2" fontId="5" fillId="3" borderId="0" xfId="0" applyNumberFormat="1" applyFont="1" applyFill="1" applyAlignment="1">
      <alignment horizontal="center"/>
    </xf>
    <xf numFmtId="0" fontId="0" fillId="14" borderId="0" xfId="0" applyFill="1"/>
    <xf numFmtId="0" fontId="0" fillId="14" borderId="0" xfId="0" applyFill="1" applyAlignment="1">
      <alignment horizontal="center"/>
    </xf>
    <xf numFmtId="0" fontId="4" fillId="14" borderId="0" xfId="0" applyFont="1" applyFill="1" applyAlignment="1">
      <alignment horizontal="center"/>
    </xf>
    <xf numFmtId="2" fontId="4" fillId="14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6" fontId="4" fillId="5" borderId="0" xfId="0" applyNumberFormat="1" applyFont="1" applyFill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  <dxf>
      <fill>
        <patternFill patternType="solid">
          <fgColor rgb="FFF3A602"/>
          <bgColor rgb="FF000000"/>
        </patternFill>
      </fill>
    </dxf>
  </dxfs>
  <tableStyles count="0" defaultTableStyle="TableStyleMedium2" defaultPivotStyle="PivotStyleLight16"/>
  <colors>
    <mruColors>
      <color rgb="FFF87D18"/>
      <color rgb="FFDF060A"/>
      <color rgb="FF56260B"/>
      <color rgb="FF7D86E0"/>
      <color rgb="FF501C75"/>
      <color rgb="FF0038B8"/>
      <color rgb="FF1A3C8E"/>
      <color rgb="FFCF5B1B"/>
      <color rgb="FF8C3E12"/>
      <color rgb="FFEF3E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513A-E0D1-405F-B780-5234AC262E79}">
  <dimension ref="A1:V22"/>
  <sheetViews>
    <sheetView showGridLines="0" tabSelected="1" zoomScaleNormal="100" workbookViewId="0">
      <selection activeCell="T27" sqref="T27"/>
    </sheetView>
  </sheetViews>
  <sheetFormatPr defaultRowHeight="15" x14ac:dyDescent="0.25"/>
  <cols>
    <col min="1" max="1" width="12.140625" bestFit="1" customWidth="1"/>
    <col min="20" max="20" width="10.28515625" bestFit="1" customWidth="1"/>
    <col min="22" max="22" width="12.5703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5" t="s">
        <v>43</v>
      </c>
    </row>
    <row r="2" spans="1:22" x14ac:dyDescent="0.25">
      <c r="A2" s="35" t="s">
        <v>28</v>
      </c>
      <c r="B2" s="6">
        <v>69</v>
      </c>
      <c r="C2" s="6">
        <v>47</v>
      </c>
      <c r="D2" s="6">
        <v>19</v>
      </c>
      <c r="E2" s="6">
        <v>4</v>
      </c>
      <c r="F2" s="6">
        <v>26</v>
      </c>
      <c r="G2" s="6">
        <v>497</v>
      </c>
      <c r="H2" s="6">
        <v>22</v>
      </c>
      <c r="I2" s="6">
        <v>7151</v>
      </c>
      <c r="J2" s="6">
        <v>68</v>
      </c>
      <c r="K2" s="6">
        <f>ROUND(IMDIV(B2,J2),2)</f>
        <v>1.01</v>
      </c>
      <c r="L2" s="7">
        <f>E2/J2</f>
        <v>5.8823529411764705E-2</v>
      </c>
      <c r="M2" s="7">
        <f>D2/J2</f>
        <v>0.27941176470588236</v>
      </c>
      <c r="N2" s="6">
        <f>ROUND(IMDIV(F2,J2),2)</f>
        <v>0.38</v>
      </c>
      <c r="O2" s="6">
        <f>ROUND(IMDIV(G2,J2),2)</f>
        <v>7.31</v>
      </c>
      <c r="P2" s="6">
        <f>ROUND(IMDIV(H2,J2),2)</f>
        <v>0.32</v>
      </c>
      <c r="Q2" s="6">
        <f>ROUND(IMDIV(B2,F2),2)</f>
        <v>2.65</v>
      </c>
      <c r="R2" s="6">
        <f>ROUND(IMDIV(C2,B2),4)*100</f>
        <v>68.12</v>
      </c>
      <c r="S2" s="6">
        <f>ROUND(IMDIV(I2,J2),2)</f>
        <v>105.16</v>
      </c>
      <c r="T2" s="6" t="s">
        <v>47</v>
      </c>
      <c r="U2" s="8" t="s">
        <v>24</v>
      </c>
      <c r="V2" s="45">
        <f>((K2/2.5)+(M2/4)+(L2/5)-(N2)+(S2/215)+(P2/20))+1</f>
        <v>1.6107339261285909</v>
      </c>
    </row>
    <row r="3" spans="1:22" x14ac:dyDescent="0.25">
      <c r="A3" s="35" t="s">
        <v>27</v>
      </c>
      <c r="B3" s="6">
        <v>35</v>
      </c>
      <c r="C3" s="6">
        <v>22</v>
      </c>
      <c r="D3" s="6">
        <v>5</v>
      </c>
      <c r="E3" s="6">
        <v>1</v>
      </c>
      <c r="F3" s="6">
        <v>35</v>
      </c>
      <c r="G3" s="6">
        <v>41</v>
      </c>
      <c r="H3" s="6">
        <v>10</v>
      </c>
      <c r="I3" s="6">
        <v>3727</v>
      </c>
      <c r="J3" s="6">
        <v>68</v>
      </c>
      <c r="K3" s="6">
        <f>ROUND(IMDIV(B3,J3),2)</f>
        <v>0.51</v>
      </c>
      <c r="L3" s="7">
        <f>E3/J3</f>
        <v>1.4705882352941176E-2</v>
      </c>
      <c r="M3" s="7">
        <f>D3/J3</f>
        <v>7.3529411764705885E-2</v>
      </c>
      <c r="N3" s="6">
        <f>ROUND(IMDIV(F3,J3),2)</f>
        <v>0.51</v>
      </c>
      <c r="O3" s="6">
        <f>ROUND(IMDIV(G3,J3),2)</f>
        <v>0.6</v>
      </c>
      <c r="P3" s="6">
        <f>ROUND(IMDIV(H3,J3),2)</f>
        <v>0.15</v>
      </c>
      <c r="Q3" s="6">
        <f>ROUND(IMDIV(B3,F3),2)</f>
        <v>1</v>
      </c>
      <c r="R3" s="6">
        <f>ROUND(IMDIV(C3,B3),4)*100</f>
        <v>62.860000000000007</v>
      </c>
      <c r="S3" s="6">
        <f>ROUND(IMDIV(I3,J3),2)</f>
        <v>54.81</v>
      </c>
      <c r="T3" s="6" t="s">
        <v>47</v>
      </c>
      <c r="U3" s="8" t="s">
        <v>24</v>
      </c>
      <c r="V3" s="45">
        <f>((K3/2.5)+(M3/4)+(L3/5)-(N3)+(S3/215)+(P3/20))+1</f>
        <v>0.97775376196990427</v>
      </c>
    </row>
    <row r="4" spans="1:22" x14ac:dyDescent="0.25">
      <c r="A4" s="36" t="s">
        <v>31</v>
      </c>
      <c r="B4" s="9">
        <v>77</v>
      </c>
      <c r="C4" s="9">
        <v>41</v>
      </c>
      <c r="D4" s="9">
        <v>19</v>
      </c>
      <c r="E4" s="9">
        <v>8</v>
      </c>
      <c r="F4" s="9">
        <v>48</v>
      </c>
      <c r="G4" s="9">
        <v>167</v>
      </c>
      <c r="H4" s="9">
        <v>29</v>
      </c>
      <c r="I4" s="9">
        <v>8567</v>
      </c>
      <c r="J4" s="9">
        <v>95</v>
      </c>
      <c r="K4" s="9">
        <f>ROUND(IMDIV(B4,J4),2)</f>
        <v>0.81</v>
      </c>
      <c r="L4" s="11">
        <f>E4/J4</f>
        <v>8.4210526315789472E-2</v>
      </c>
      <c r="M4" s="11">
        <f>D4/J4</f>
        <v>0.2</v>
      </c>
      <c r="N4" s="9">
        <f>ROUND(IMDIV(F4,J4),2)</f>
        <v>0.51</v>
      </c>
      <c r="O4" s="9">
        <f>ROUND(IMDIV(G4,J4),2)</f>
        <v>1.76</v>
      </c>
      <c r="P4" s="9">
        <f>ROUND(IMDIV(H4,J4),2)</f>
        <v>0.31</v>
      </c>
      <c r="Q4" s="9">
        <f>ROUND(IMDIV(B4,F4),2)</f>
        <v>1.6</v>
      </c>
      <c r="R4" s="9">
        <f>ROUND(IMDIV(C4,B4),4)*100</f>
        <v>53.25</v>
      </c>
      <c r="S4" s="9">
        <f>ROUND(IMDIV(I4,J4),2)</f>
        <v>90.18</v>
      </c>
      <c r="T4" s="9" t="s">
        <v>46</v>
      </c>
      <c r="U4" s="10" t="s">
        <v>24</v>
      </c>
      <c r="V4" s="45">
        <f>((K4/2.5)+(M4/4)+(L4/5)-(N4)+(S4/215)+(P4/20))+1</f>
        <v>1.3157839657282742</v>
      </c>
    </row>
    <row r="5" spans="1:22" x14ac:dyDescent="0.25">
      <c r="A5" s="36" t="s">
        <v>32</v>
      </c>
      <c r="B5" s="9">
        <v>51</v>
      </c>
      <c r="C5" s="9">
        <v>23</v>
      </c>
      <c r="D5" s="9">
        <v>9</v>
      </c>
      <c r="E5" s="9">
        <v>4</v>
      </c>
      <c r="F5" s="9">
        <v>55</v>
      </c>
      <c r="G5" s="9">
        <v>398</v>
      </c>
      <c r="H5" s="9">
        <v>15</v>
      </c>
      <c r="I5" s="9">
        <v>5369</v>
      </c>
      <c r="J5" s="9">
        <v>95</v>
      </c>
      <c r="K5" s="9">
        <f>ROUND(IMDIV(B5,J5),2)</f>
        <v>0.54</v>
      </c>
      <c r="L5" s="11">
        <f>E5/J5</f>
        <v>4.2105263157894736E-2</v>
      </c>
      <c r="M5" s="11">
        <f>D5/J5</f>
        <v>9.4736842105263161E-2</v>
      </c>
      <c r="N5" s="9">
        <f>ROUND(IMDIV(F5,J5),2)</f>
        <v>0.57999999999999996</v>
      </c>
      <c r="O5" s="9">
        <f>ROUND(IMDIV(G5,J5),2)</f>
        <v>4.1900000000000004</v>
      </c>
      <c r="P5" s="9">
        <f>ROUND(IMDIV(H5,J5),2)</f>
        <v>0.16</v>
      </c>
      <c r="Q5" s="9">
        <f>ROUND(IMDIV(B5,F5),2)</f>
        <v>0.93</v>
      </c>
      <c r="R5" s="9">
        <f>ROUND(IMDIV(C5,B5),4)*100</f>
        <v>45.1</v>
      </c>
      <c r="S5" s="9">
        <f>ROUND(IMDIV(I5,J5),2)</f>
        <v>56.52</v>
      </c>
      <c r="T5" s="9" t="s">
        <v>46</v>
      </c>
      <c r="U5" s="10" t="s">
        <v>24</v>
      </c>
      <c r="V5" s="45">
        <f>((K5/2.5)+(M5/4)+(L5/5)-(N5)+(S5/215)+(P5/20))+1</f>
        <v>0.93898898408812725</v>
      </c>
    </row>
    <row r="6" spans="1:22" x14ac:dyDescent="0.25">
      <c r="A6" s="43" t="s">
        <v>39</v>
      </c>
      <c r="B6" s="29">
        <v>62</v>
      </c>
      <c r="C6" s="29">
        <v>38</v>
      </c>
      <c r="D6" s="29">
        <v>20</v>
      </c>
      <c r="E6" s="29">
        <v>8</v>
      </c>
      <c r="F6" s="29">
        <v>33</v>
      </c>
      <c r="G6" s="29">
        <v>580</v>
      </c>
      <c r="H6" s="29">
        <v>10</v>
      </c>
      <c r="I6" s="29">
        <v>7210</v>
      </c>
      <c r="J6" s="29">
        <v>68</v>
      </c>
      <c r="K6" s="30">
        <f>ROUND(IMDIV(B6,J6),2)</f>
        <v>0.91</v>
      </c>
      <c r="L6" s="31">
        <f>E6/J6</f>
        <v>0.11764705882352941</v>
      </c>
      <c r="M6" s="31">
        <f>D6/J6</f>
        <v>0.29411764705882354</v>
      </c>
      <c r="N6" s="30">
        <f>ROUND(IMDIV(F6,J6),2)</f>
        <v>0.49</v>
      </c>
      <c r="O6" s="30">
        <f>ROUND(IMDIV(G6,J6),2)</f>
        <v>8.5299999999999994</v>
      </c>
      <c r="P6" s="30">
        <f>ROUND(IMDIV(H6,J6),2)</f>
        <v>0.15</v>
      </c>
      <c r="Q6" s="30">
        <f>ROUND(IMDIV(B6,F6),2)</f>
        <v>1.88</v>
      </c>
      <c r="R6" s="30">
        <f>ROUND(IMDIV(C6,B6),4)*100</f>
        <v>61.29</v>
      </c>
      <c r="S6" s="30">
        <f>ROUND(IMDIV(I6,J6),2)</f>
        <v>106.03</v>
      </c>
      <c r="T6" s="29" t="s">
        <v>46</v>
      </c>
      <c r="U6" s="29" t="s">
        <v>24</v>
      </c>
      <c r="V6" s="45">
        <f>((K6/2.5)+(M6/4)+(L6/5)-(N6)+(S6/215)+(P6/20))+1</f>
        <v>1.4717216142270861</v>
      </c>
    </row>
    <row r="7" spans="1:22" x14ac:dyDescent="0.25">
      <c r="A7" s="43" t="s">
        <v>40</v>
      </c>
      <c r="B7" s="29">
        <v>28</v>
      </c>
      <c r="C7" s="29">
        <v>10</v>
      </c>
      <c r="D7" s="29">
        <v>3</v>
      </c>
      <c r="E7" s="29">
        <v>0</v>
      </c>
      <c r="F7" s="29">
        <v>41</v>
      </c>
      <c r="G7" s="29">
        <v>132</v>
      </c>
      <c r="H7" s="29">
        <v>18</v>
      </c>
      <c r="I7" s="29">
        <v>2982</v>
      </c>
      <c r="J7" s="29">
        <v>68</v>
      </c>
      <c r="K7" s="30">
        <f>ROUND(IMDIV(B7,J7),2)</f>
        <v>0.41</v>
      </c>
      <c r="L7" s="31">
        <f>E7/J7</f>
        <v>0</v>
      </c>
      <c r="M7" s="31">
        <f>D7/J7</f>
        <v>4.4117647058823532E-2</v>
      </c>
      <c r="N7" s="30">
        <f>ROUND(IMDIV(F7,J7),2)</f>
        <v>0.6</v>
      </c>
      <c r="O7" s="30">
        <f>ROUND(IMDIV(G7,J7),2)</f>
        <v>1.94</v>
      </c>
      <c r="P7" s="30">
        <f>ROUND(IMDIV(H7,J7),2)</f>
        <v>0.26</v>
      </c>
      <c r="Q7" s="30">
        <f>ROUND(IMDIV(B7,F7),2)</f>
        <v>0.68</v>
      </c>
      <c r="R7" s="30">
        <f>ROUND(IMDIV(C7,B7),4)*100</f>
        <v>35.709999999999994</v>
      </c>
      <c r="S7" s="30">
        <f>ROUND(IMDIV(I7,J7),2)</f>
        <v>43.85</v>
      </c>
      <c r="T7" s="29" t="s">
        <v>46</v>
      </c>
      <c r="U7" s="29" t="s">
        <v>24</v>
      </c>
      <c r="V7" s="45">
        <f>((K7/2.5)+(M7/4)+(L7/5)-(N7)+(S7/215)+(P7/20))+1</f>
        <v>0.79198290013679895</v>
      </c>
    </row>
    <row r="8" spans="1:22" x14ac:dyDescent="0.25">
      <c r="A8" s="37" t="s">
        <v>29</v>
      </c>
      <c r="B8" s="12">
        <v>70</v>
      </c>
      <c r="C8" s="12">
        <v>30</v>
      </c>
      <c r="D8" s="12">
        <v>19</v>
      </c>
      <c r="E8" s="12">
        <v>5</v>
      </c>
      <c r="F8" s="12">
        <v>38</v>
      </c>
      <c r="G8" s="12">
        <v>302</v>
      </c>
      <c r="H8" s="12">
        <v>9</v>
      </c>
      <c r="I8" s="12">
        <v>8290</v>
      </c>
      <c r="J8" s="12">
        <v>81</v>
      </c>
      <c r="K8" s="12">
        <f>ROUND(IMDIV(B8,J8),2)</f>
        <v>0.86</v>
      </c>
      <c r="L8" s="13">
        <f>E8/J8</f>
        <v>6.1728395061728392E-2</v>
      </c>
      <c r="M8" s="13">
        <f>D8/J8</f>
        <v>0.23456790123456789</v>
      </c>
      <c r="N8" s="12">
        <f>ROUND(IMDIV(F8,J8),2)</f>
        <v>0.47</v>
      </c>
      <c r="O8" s="12">
        <f>ROUND(IMDIV(G8,J8),2)</f>
        <v>3.73</v>
      </c>
      <c r="P8" s="12">
        <f>ROUND(IMDIV(H8,J8),2)</f>
        <v>0.11</v>
      </c>
      <c r="Q8" s="12">
        <f>ROUND(IMDIV(B8,F8),2)</f>
        <v>1.84</v>
      </c>
      <c r="R8" s="12">
        <f>ROUND(IMDIV(C8,B8),4)*100</f>
        <v>42.86</v>
      </c>
      <c r="S8" s="12">
        <f>ROUND(IMDIV(I8,J8),2)</f>
        <v>102.35</v>
      </c>
      <c r="T8" s="51" t="s">
        <v>46</v>
      </c>
      <c r="U8" s="14" t="s">
        <v>24</v>
      </c>
      <c r="V8" s="45">
        <f>((K8/2.5)+(M8/4)+(L8/5)-(N8)+(S8/215)+(P8/20))+1</f>
        <v>1.4265341659488946</v>
      </c>
    </row>
    <row r="9" spans="1:22" x14ac:dyDescent="0.25">
      <c r="A9" s="37" t="s">
        <v>30</v>
      </c>
      <c r="B9" s="12">
        <v>40</v>
      </c>
      <c r="C9" s="12">
        <v>19</v>
      </c>
      <c r="D9" s="12">
        <v>5</v>
      </c>
      <c r="E9" s="12">
        <v>1</v>
      </c>
      <c r="F9" s="12">
        <v>42</v>
      </c>
      <c r="G9" s="12">
        <v>115</v>
      </c>
      <c r="H9" s="12">
        <v>8</v>
      </c>
      <c r="I9" s="12">
        <v>4641</v>
      </c>
      <c r="J9" s="12">
        <v>81</v>
      </c>
      <c r="K9" s="12">
        <f>ROUND(IMDIV(B9,J9),2)</f>
        <v>0.49</v>
      </c>
      <c r="L9" s="13">
        <f>E9/J9</f>
        <v>1.2345679012345678E-2</v>
      </c>
      <c r="M9" s="13">
        <f>D9/J9</f>
        <v>6.1728395061728392E-2</v>
      </c>
      <c r="N9" s="12">
        <f>ROUND(IMDIV(F9,J9),2)</f>
        <v>0.52</v>
      </c>
      <c r="O9" s="12">
        <f>ROUND(IMDIV(G9,J9),2)</f>
        <v>1.42</v>
      </c>
      <c r="P9" s="12">
        <f>ROUND(IMDIV(H9,J9),2)</f>
        <v>0.1</v>
      </c>
      <c r="Q9" s="12">
        <f>ROUND(IMDIV(B9,F9),2)</f>
        <v>0.95</v>
      </c>
      <c r="R9" s="12">
        <f>ROUND(IMDIV(C9,B9),4)*100</f>
        <v>47.5</v>
      </c>
      <c r="S9" s="12">
        <f>ROUND(IMDIV(I9,J9),2)</f>
        <v>57.3</v>
      </c>
      <c r="T9" s="51" t="s">
        <v>46</v>
      </c>
      <c r="U9" s="14" t="s">
        <v>24</v>
      </c>
      <c r="V9" s="45">
        <f>((K9/2.5)+(M9/4)+(L9/5)-(N9)+(S9/215)+(P9/20))+1</f>
        <v>0.9654128624748779</v>
      </c>
    </row>
    <row r="10" spans="1:22" x14ac:dyDescent="0.25">
      <c r="A10" s="42" t="s">
        <v>37</v>
      </c>
      <c r="B10" s="26">
        <v>54</v>
      </c>
      <c r="C10" s="26">
        <v>27</v>
      </c>
      <c r="D10" s="26">
        <v>9</v>
      </c>
      <c r="E10" s="26">
        <v>7</v>
      </c>
      <c r="F10" s="26">
        <v>48</v>
      </c>
      <c r="G10" s="26">
        <v>143</v>
      </c>
      <c r="H10" s="26">
        <v>30</v>
      </c>
      <c r="I10" s="26">
        <v>6734</v>
      </c>
      <c r="J10" s="26">
        <v>81</v>
      </c>
      <c r="K10" s="27">
        <f>ROUND(IMDIV(B10,J10),2)</f>
        <v>0.67</v>
      </c>
      <c r="L10" s="28">
        <f>E10/J10</f>
        <v>8.6419753086419748E-2</v>
      </c>
      <c r="M10" s="28">
        <f>D10/J10</f>
        <v>0.1111111111111111</v>
      </c>
      <c r="N10" s="27">
        <f>ROUND(IMDIV(F10,J10),2)</f>
        <v>0.59</v>
      </c>
      <c r="O10" s="27">
        <f>ROUND(IMDIV(G10,J10),2)</f>
        <v>1.77</v>
      </c>
      <c r="P10" s="27">
        <f>ROUND(IMDIV(H10,J10),2)</f>
        <v>0.37</v>
      </c>
      <c r="Q10" s="27">
        <f>ROUND(IMDIV(B10,F10),2)</f>
        <v>1.1299999999999999</v>
      </c>
      <c r="R10" s="27">
        <f>ROUND(IMDIV(C10,B10),4)*100</f>
        <v>50</v>
      </c>
      <c r="S10" s="27">
        <f>ROUND(IMDIV(I10,J10),2)</f>
        <v>83.14</v>
      </c>
      <c r="T10" s="26" t="s">
        <v>46</v>
      </c>
      <c r="U10" s="26" t="s">
        <v>24</v>
      </c>
      <c r="V10" s="45">
        <f>((K10/2.5)+(M10/4)+(L10/5)-(N10)+(S10/215)+(P10/20))+1</f>
        <v>1.1282594028136663</v>
      </c>
    </row>
    <row r="11" spans="1:22" x14ac:dyDescent="0.25">
      <c r="A11" s="42" t="s">
        <v>38</v>
      </c>
      <c r="B11" s="26">
        <v>45</v>
      </c>
      <c r="C11" s="26">
        <v>18</v>
      </c>
      <c r="D11" s="26">
        <v>7</v>
      </c>
      <c r="E11" s="26">
        <v>2</v>
      </c>
      <c r="F11" s="26">
        <v>53</v>
      </c>
      <c r="G11" s="26">
        <v>195</v>
      </c>
      <c r="H11" s="26">
        <v>25</v>
      </c>
      <c r="I11" s="26">
        <v>4801</v>
      </c>
      <c r="J11" s="26">
        <v>81</v>
      </c>
      <c r="K11" s="27">
        <f>ROUND(IMDIV(B11,J11),2)</f>
        <v>0.56000000000000005</v>
      </c>
      <c r="L11" s="28">
        <f>E11/J11</f>
        <v>2.4691358024691357E-2</v>
      </c>
      <c r="M11" s="28">
        <f>D11/J11</f>
        <v>8.6419753086419748E-2</v>
      </c>
      <c r="N11" s="27">
        <f>ROUND(IMDIV(F11,J11),2)</f>
        <v>0.65</v>
      </c>
      <c r="O11" s="27">
        <f>ROUND(IMDIV(G11,J11),2)</f>
        <v>2.41</v>
      </c>
      <c r="P11" s="27">
        <f>ROUND(IMDIV(H11,J11),2)</f>
        <v>0.31</v>
      </c>
      <c r="Q11" s="27">
        <f>ROUND(IMDIV(B11,F11),2)</f>
        <v>0.85</v>
      </c>
      <c r="R11" s="27">
        <f>ROUND(IMDIV(C11,B11),4)*100</f>
        <v>40</v>
      </c>
      <c r="S11" s="27">
        <f>ROUND(IMDIV(I11,J11),2)</f>
        <v>59.27</v>
      </c>
      <c r="T11" s="26" t="s">
        <v>46</v>
      </c>
      <c r="U11" s="26" t="s">
        <v>24</v>
      </c>
      <c r="V11" s="45">
        <f>((K11/2.5)+(M11/4)+(L11/5)-(N11)+(S11/215)+(P11/20))+1</f>
        <v>0.8917176284811944</v>
      </c>
    </row>
    <row r="12" spans="1:22" x14ac:dyDescent="0.25">
      <c r="A12" s="44" t="s">
        <v>41</v>
      </c>
      <c r="B12" s="32">
        <v>36</v>
      </c>
      <c r="C12" s="32">
        <v>16</v>
      </c>
      <c r="D12" s="32">
        <v>10</v>
      </c>
      <c r="E12" s="32">
        <v>1</v>
      </c>
      <c r="F12" s="32">
        <v>40</v>
      </c>
      <c r="G12" s="32">
        <v>152</v>
      </c>
      <c r="H12" s="32">
        <v>16</v>
      </c>
      <c r="I12" s="32">
        <v>4708</v>
      </c>
      <c r="J12" s="32">
        <v>61</v>
      </c>
      <c r="K12" s="33">
        <f>ROUND(IMDIV(B12,J12),2)</f>
        <v>0.59</v>
      </c>
      <c r="L12" s="34">
        <f>E12/J12</f>
        <v>1.6393442622950821E-2</v>
      </c>
      <c r="M12" s="34">
        <f>D12/J12</f>
        <v>0.16393442622950818</v>
      </c>
      <c r="N12" s="33">
        <f>ROUND(IMDIV(F12,J12),2)</f>
        <v>0.66</v>
      </c>
      <c r="O12" s="33">
        <f>ROUND(IMDIV(G12,J12),2)</f>
        <v>2.4900000000000002</v>
      </c>
      <c r="P12" s="33">
        <f>ROUND(IMDIV(H12,J12),2)</f>
        <v>0.26</v>
      </c>
      <c r="Q12" s="33">
        <f>ROUND(IMDIV(B12,F12),2)</f>
        <v>0.9</v>
      </c>
      <c r="R12" s="33">
        <f>ROUND(IMDIV(C12,B12),4)*100</f>
        <v>44.440000000000005</v>
      </c>
      <c r="S12" s="33">
        <f>ROUND(IMDIV(I12,J12),2)</f>
        <v>77.180000000000007</v>
      </c>
      <c r="T12" s="32" t="s">
        <v>46</v>
      </c>
      <c r="U12" s="32" t="s">
        <v>24</v>
      </c>
      <c r="V12" s="45">
        <f>((K12/2.5)+(M12/4)+(L12/5)-(N12)+(S12/215)+(P12/20))+1</f>
        <v>0.99223903926801371</v>
      </c>
    </row>
    <row r="13" spans="1:22" x14ac:dyDescent="0.25">
      <c r="A13" s="44" t="s">
        <v>26</v>
      </c>
      <c r="B13" s="32">
        <v>31</v>
      </c>
      <c r="C13" s="32">
        <v>16</v>
      </c>
      <c r="D13" s="32">
        <v>7</v>
      </c>
      <c r="E13" s="32">
        <v>3</v>
      </c>
      <c r="F13" s="32">
        <v>40</v>
      </c>
      <c r="G13" s="32">
        <v>253</v>
      </c>
      <c r="H13" s="32">
        <v>4</v>
      </c>
      <c r="I13" s="32">
        <v>3281</v>
      </c>
      <c r="J13" s="32">
        <v>61</v>
      </c>
      <c r="K13" s="33">
        <f>ROUND(IMDIV(B13,J13),2)</f>
        <v>0.51</v>
      </c>
      <c r="L13" s="34">
        <f>E13/J13</f>
        <v>4.9180327868852458E-2</v>
      </c>
      <c r="M13" s="34">
        <f>D13/J13</f>
        <v>0.11475409836065574</v>
      </c>
      <c r="N13" s="33">
        <f>ROUND(IMDIV(F13,J13),2)</f>
        <v>0.66</v>
      </c>
      <c r="O13" s="33">
        <f>ROUND(IMDIV(G13,J13),2)</f>
        <v>4.1500000000000004</v>
      </c>
      <c r="P13" s="33">
        <f>ROUND(IMDIV(H13,J13),2)</f>
        <v>7.0000000000000007E-2</v>
      </c>
      <c r="Q13" s="33">
        <f>ROUND(IMDIV(B13,F13),2)</f>
        <v>0.78</v>
      </c>
      <c r="R13" s="33">
        <f>ROUND(IMDIV(C13,B13),4)*100</f>
        <v>51.61</v>
      </c>
      <c r="S13" s="33">
        <f>ROUND(IMDIV(I13,J13),2)</f>
        <v>53.79</v>
      </c>
      <c r="T13" s="32" t="s">
        <v>46</v>
      </c>
      <c r="U13" s="32" t="s">
        <v>24</v>
      </c>
      <c r="V13" s="45">
        <f>((K13/2.5)+(M13/4)+(L13/5)-(N13)+(S13/215)+(P13/20))+1</f>
        <v>0.83621063667556239</v>
      </c>
    </row>
    <row r="14" spans="1:22" x14ac:dyDescent="0.25">
      <c r="A14" s="40" t="s">
        <v>34</v>
      </c>
      <c r="B14" s="50">
        <v>54</v>
      </c>
      <c r="C14" s="50">
        <v>37</v>
      </c>
      <c r="D14" s="50">
        <v>16</v>
      </c>
      <c r="E14" s="50">
        <v>6</v>
      </c>
      <c r="F14" s="50">
        <v>54</v>
      </c>
      <c r="G14" s="50">
        <v>265</v>
      </c>
      <c r="H14" s="50">
        <v>15</v>
      </c>
      <c r="I14" s="50">
        <v>5844</v>
      </c>
      <c r="J14" s="50">
        <v>88</v>
      </c>
      <c r="K14" s="20">
        <f>ROUND(IMDIV(B14,J14),2)</f>
        <v>0.61</v>
      </c>
      <c r="L14" s="21">
        <f>E14/J14</f>
        <v>6.8181818181818177E-2</v>
      </c>
      <c r="M14" s="21">
        <f>D14/J14</f>
        <v>0.18181818181818182</v>
      </c>
      <c r="N14" s="20">
        <f>ROUND(IMDIV(F14,J14),2)</f>
        <v>0.61</v>
      </c>
      <c r="O14" s="20">
        <f>ROUND(IMDIV(G14,J14),2)</f>
        <v>3.01</v>
      </c>
      <c r="P14" s="20">
        <f>ROUND(IMDIV(H14,J14),2)</f>
        <v>0.17</v>
      </c>
      <c r="Q14" s="20">
        <f>ROUND(IMDIV(B14,F14),2)</f>
        <v>1</v>
      </c>
      <c r="R14" s="20">
        <f>ROUND(IMDIV(C14,B14),4)*100</f>
        <v>68.52000000000001</v>
      </c>
      <c r="S14" s="20">
        <f>ROUND(IMDIV(I14,J14),2)</f>
        <v>66.41</v>
      </c>
      <c r="T14" s="20" t="s">
        <v>46</v>
      </c>
      <c r="U14" s="22" t="s">
        <v>24</v>
      </c>
      <c r="V14" s="45">
        <f>((K14/2.5)+(M14/4)+(L14/5)-(N14)+(S14/215)+(P14/20))+1</f>
        <v>1.0104746300211416</v>
      </c>
    </row>
    <row r="15" spans="1:22" x14ac:dyDescent="0.25">
      <c r="A15" s="40" t="s">
        <v>35</v>
      </c>
      <c r="B15" s="50">
        <v>47</v>
      </c>
      <c r="C15" s="50">
        <v>24</v>
      </c>
      <c r="D15" s="50">
        <v>13</v>
      </c>
      <c r="E15" s="50">
        <v>5</v>
      </c>
      <c r="F15" s="50">
        <v>58</v>
      </c>
      <c r="G15" s="50">
        <v>112</v>
      </c>
      <c r="H15" s="50">
        <v>20</v>
      </c>
      <c r="I15" s="50">
        <v>5950</v>
      </c>
      <c r="J15" s="50">
        <v>88</v>
      </c>
      <c r="K15" s="20">
        <f>ROUND(IMDIV(B15,J15),2)</f>
        <v>0.53</v>
      </c>
      <c r="L15" s="21">
        <f>E15/J15</f>
        <v>5.6818181818181816E-2</v>
      </c>
      <c r="M15" s="21">
        <f>D15/J15</f>
        <v>0.14772727272727273</v>
      </c>
      <c r="N15" s="20">
        <f>ROUND(IMDIV(F15,J15),2)</f>
        <v>0.66</v>
      </c>
      <c r="O15" s="20">
        <f>ROUND(IMDIV(G15,J15),2)</f>
        <v>1.27</v>
      </c>
      <c r="P15" s="20">
        <f>ROUND(IMDIV(H15,J15),2)</f>
        <v>0.23</v>
      </c>
      <c r="Q15" s="20">
        <f>ROUND(IMDIV(B15,F15),2)</f>
        <v>0.81</v>
      </c>
      <c r="R15" s="20">
        <f>ROUND(IMDIV(C15,B15),4)*100</f>
        <v>51.06</v>
      </c>
      <c r="S15" s="20">
        <f>ROUND(IMDIV(I15,J15),2)</f>
        <v>67.61</v>
      </c>
      <c r="T15" s="20" t="s">
        <v>46</v>
      </c>
      <c r="U15" s="22" t="s">
        <v>24</v>
      </c>
      <c r="V15" s="45">
        <f>((K15/2.5)+(M15/4)+(L15/5)-(N15)+(S15/215)+(P15/20))+1</f>
        <v>0.92626057082452429</v>
      </c>
    </row>
    <row r="16" spans="1:22" x14ac:dyDescent="0.25">
      <c r="A16" s="41" t="s">
        <v>36</v>
      </c>
      <c r="B16" s="23">
        <v>54</v>
      </c>
      <c r="C16" s="23">
        <v>32</v>
      </c>
      <c r="D16" s="23">
        <v>18</v>
      </c>
      <c r="E16" s="23">
        <v>2</v>
      </c>
      <c r="F16" s="23">
        <v>51</v>
      </c>
      <c r="G16" s="23">
        <v>270</v>
      </c>
      <c r="H16" s="23">
        <v>9</v>
      </c>
      <c r="I16" s="23">
        <v>6978</v>
      </c>
      <c r="J16" s="23">
        <v>78</v>
      </c>
      <c r="K16" s="24">
        <f>ROUND(IMDIV(B16,J16),2)</f>
        <v>0.69</v>
      </c>
      <c r="L16" s="25">
        <f>E16/J16</f>
        <v>2.564102564102564E-2</v>
      </c>
      <c r="M16" s="25">
        <f>D16/J16</f>
        <v>0.23076923076923078</v>
      </c>
      <c r="N16" s="24">
        <f>ROUND(IMDIV(F16,J16),2)</f>
        <v>0.65</v>
      </c>
      <c r="O16" s="24">
        <f>ROUND(IMDIV(G16,J16),2)</f>
        <v>3.46</v>
      </c>
      <c r="P16" s="24">
        <f>ROUND(IMDIV(H16,J16),2)</f>
        <v>0.12</v>
      </c>
      <c r="Q16" s="24">
        <f>ROUND(IMDIV(B16,F16),2)</f>
        <v>1.06</v>
      </c>
      <c r="R16" s="24">
        <f>ROUND(IMDIV(C16,B16),4)*100</f>
        <v>59.260000000000005</v>
      </c>
      <c r="S16" s="24">
        <f>ROUND(IMDIV(I16,J16),2)</f>
        <v>89.46</v>
      </c>
      <c r="T16" s="24" t="s">
        <v>46</v>
      </c>
      <c r="U16" s="24" t="s">
        <v>24</v>
      </c>
      <c r="V16" s="45">
        <f>((K16/2.5)+(M16/4)+(L16/5)-(N16)+(S16/215)+(P16/20))+1</f>
        <v>1.1109135360763267</v>
      </c>
    </row>
    <row r="17" spans="1:22" x14ac:dyDescent="0.25">
      <c r="A17" s="41" t="s">
        <v>25</v>
      </c>
      <c r="B17" s="23">
        <v>23</v>
      </c>
      <c r="C17" s="23">
        <v>12</v>
      </c>
      <c r="D17" s="23">
        <v>5</v>
      </c>
      <c r="E17" s="23">
        <v>2</v>
      </c>
      <c r="F17" s="23">
        <v>41</v>
      </c>
      <c r="G17" s="24">
        <v>84</v>
      </c>
      <c r="H17" s="23">
        <v>8</v>
      </c>
      <c r="I17" s="23">
        <v>2640</v>
      </c>
      <c r="J17" s="23">
        <v>62</v>
      </c>
      <c r="K17" s="24">
        <f>ROUND(IMDIV(B17,J17),2)</f>
        <v>0.37</v>
      </c>
      <c r="L17" s="25">
        <f>E17/J17</f>
        <v>3.2258064516129031E-2</v>
      </c>
      <c r="M17" s="25">
        <f>D17/J17</f>
        <v>8.0645161290322578E-2</v>
      </c>
      <c r="N17" s="24">
        <f>ROUND(IMDIV(F17,J17),2)</f>
        <v>0.66</v>
      </c>
      <c r="O17" s="24">
        <f>ROUND(IMDIV(G17,J17),2)</f>
        <v>1.35</v>
      </c>
      <c r="P17" s="24">
        <f>ROUND(IMDIV(H17,J17),2)</f>
        <v>0.13</v>
      </c>
      <c r="Q17" s="24">
        <f>ROUND(IMDIV(B17,F17),2)</f>
        <v>0.56000000000000005</v>
      </c>
      <c r="R17" s="24">
        <f>ROUND(IMDIV(C17,B17),4)*100</f>
        <v>52.17</v>
      </c>
      <c r="S17" s="24">
        <f>ROUND(IMDIV(I17,J17),2)</f>
        <v>42.58</v>
      </c>
      <c r="T17" s="24" t="s">
        <v>46</v>
      </c>
      <c r="U17" s="24" t="s">
        <v>24</v>
      </c>
      <c r="V17" s="45">
        <f>((K17/2.5)+(M17/4)+(L17/5)-(N17)+(S17/215)+(P17/20))+1</f>
        <v>0.71915941485371349</v>
      </c>
    </row>
    <row r="18" spans="1:22" x14ac:dyDescent="0.25">
      <c r="A18" s="39" t="s">
        <v>22</v>
      </c>
      <c r="B18" s="18">
        <v>37</v>
      </c>
      <c r="C18" s="18">
        <v>24</v>
      </c>
      <c r="D18" s="18">
        <v>7</v>
      </c>
      <c r="E18" s="18">
        <v>1</v>
      </c>
      <c r="F18" s="18">
        <v>47</v>
      </c>
      <c r="G18" s="18">
        <v>165</v>
      </c>
      <c r="H18" s="18">
        <v>9</v>
      </c>
      <c r="I18" s="18">
        <v>4883</v>
      </c>
      <c r="J18" s="18">
        <v>71</v>
      </c>
      <c r="K18" s="18">
        <f>ROUND(IMDIV(B18,J18),2)</f>
        <v>0.52</v>
      </c>
      <c r="L18" s="19">
        <f>E18/J18</f>
        <v>1.4084507042253521E-2</v>
      </c>
      <c r="M18" s="19">
        <f>D18/J18</f>
        <v>9.8591549295774641E-2</v>
      </c>
      <c r="N18" s="18">
        <f>ROUND(IMDIV(F18,J18),2)</f>
        <v>0.66</v>
      </c>
      <c r="O18" s="18">
        <f>ROUND(IMDIV(G18,J18),2)</f>
        <v>2.3199999999999998</v>
      </c>
      <c r="P18" s="18">
        <f>ROUND(IMDIV(H18,J18),2)</f>
        <v>0.13</v>
      </c>
      <c r="Q18" s="18">
        <f>ROUND(IMDIV(B18,F18),2)</f>
        <v>0.79</v>
      </c>
      <c r="R18" s="18">
        <f>ROUND(IMDIV(C18,B18),4)*100</f>
        <v>64.86</v>
      </c>
      <c r="S18" s="18">
        <f>ROUND(IMDIV(I18,J18),2)</f>
        <v>68.77</v>
      </c>
      <c r="T18" s="18" t="s">
        <v>46</v>
      </c>
      <c r="U18" s="18" t="s">
        <v>24</v>
      </c>
      <c r="V18" s="45">
        <f>((K18/2.5)+(M18/4)+(L18/5)-(N18)+(S18/215)+(P18/20))+1</f>
        <v>0.9018252538486734</v>
      </c>
    </row>
    <row r="19" spans="1:22" x14ac:dyDescent="0.25">
      <c r="A19" s="39" t="s">
        <v>23</v>
      </c>
      <c r="B19" s="18">
        <v>30</v>
      </c>
      <c r="C19" s="18">
        <v>13</v>
      </c>
      <c r="D19" s="18">
        <v>4</v>
      </c>
      <c r="E19" s="18">
        <v>1</v>
      </c>
      <c r="F19" s="18">
        <v>46</v>
      </c>
      <c r="G19" s="18">
        <v>27</v>
      </c>
      <c r="H19" s="18">
        <v>11</v>
      </c>
      <c r="I19" s="18">
        <v>3638</v>
      </c>
      <c r="J19" s="18">
        <v>71</v>
      </c>
      <c r="K19" s="18">
        <f>ROUND(IMDIV(B19,J19),2)</f>
        <v>0.42</v>
      </c>
      <c r="L19" s="19">
        <f>E19/J19</f>
        <v>1.4084507042253521E-2</v>
      </c>
      <c r="M19" s="19">
        <f>D19/J19</f>
        <v>5.6338028169014086E-2</v>
      </c>
      <c r="N19" s="18">
        <f>ROUND(IMDIV(F19,J19),2)</f>
        <v>0.65</v>
      </c>
      <c r="O19" s="18">
        <f>ROUND(IMDIV(G19,J19),2)</f>
        <v>0.38</v>
      </c>
      <c r="P19" s="18">
        <f>ROUND(IMDIV(H19,J19),2)</f>
        <v>0.15</v>
      </c>
      <c r="Q19" s="18">
        <f>ROUND(IMDIV(B19,F19),2)</f>
        <v>0.65</v>
      </c>
      <c r="R19" s="18">
        <f>ROUND(IMDIV(C19,B19),4)*100</f>
        <v>43.33</v>
      </c>
      <c r="S19" s="18">
        <f>ROUND(IMDIV(I19,J19),2)</f>
        <v>51.24</v>
      </c>
      <c r="T19" s="18" t="s">
        <v>46</v>
      </c>
      <c r="U19" s="18" t="s">
        <v>24</v>
      </c>
      <c r="V19" s="45">
        <f>((K19/2.5)+(M19/4)+(L19/5)-(N19)+(S19/215)+(P19/20))+1</f>
        <v>0.78072698984605304</v>
      </c>
    </row>
    <row r="20" spans="1:22" x14ac:dyDescent="0.25">
      <c r="A20" s="38" t="s">
        <v>33</v>
      </c>
      <c r="B20" s="15">
        <v>49</v>
      </c>
      <c r="C20" s="15">
        <v>38</v>
      </c>
      <c r="D20" s="15">
        <v>11</v>
      </c>
      <c r="E20" s="15">
        <v>4</v>
      </c>
      <c r="F20" s="15">
        <v>56</v>
      </c>
      <c r="G20" s="15">
        <v>146</v>
      </c>
      <c r="H20" s="15">
        <v>19</v>
      </c>
      <c r="I20" s="15">
        <v>5734</v>
      </c>
      <c r="J20" s="15">
        <v>81</v>
      </c>
      <c r="K20" s="15">
        <f>ROUND(IMDIV(B20,J20),2)</f>
        <v>0.6</v>
      </c>
      <c r="L20" s="17">
        <f>E20/J20</f>
        <v>4.9382716049382713E-2</v>
      </c>
      <c r="M20" s="17">
        <f>D20/J20</f>
        <v>0.13580246913580246</v>
      </c>
      <c r="N20" s="15">
        <f>ROUND(IMDIV(F20,J20),2)</f>
        <v>0.69</v>
      </c>
      <c r="O20" s="15">
        <f>ROUND(IMDIV(G20,J20),2)</f>
        <v>1.8</v>
      </c>
      <c r="P20" s="15">
        <f>ROUND(IMDIV(H20,J20),2)</f>
        <v>0.23</v>
      </c>
      <c r="Q20" s="15">
        <f>ROUND(IMDIV(B20,F20),2)</f>
        <v>0.88</v>
      </c>
      <c r="R20" s="15">
        <f>ROUND(IMDIV(C20,B20),4)*100</f>
        <v>77.55</v>
      </c>
      <c r="S20" s="15">
        <f>ROUND(IMDIV(I20,J20),2)</f>
        <v>70.790000000000006</v>
      </c>
      <c r="T20" s="16" t="s">
        <v>42</v>
      </c>
      <c r="U20" s="16" t="s">
        <v>24</v>
      </c>
      <c r="V20" s="45">
        <f>((K20/2.5)+(M20/4)+(L20/5)-(N20)+(S20/215)+(P20/20))+1</f>
        <v>0.93458297444731553</v>
      </c>
    </row>
    <row r="21" spans="1:22" x14ac:dyDescent="0.25">
      <c r="A21" s="38" t="s">
        <v>21</v>
      </c>
      <c r="B21" s="15">
        <v>31</v>
      </c>
      <c r="C21" s="15">
        <v>13</v>
      </c>
      <c r="D21" s="15">
        <v>4</v>
      </c>
      <c r="E21" s="15">
        <v>0</v>
      </c>
      <c r="F21" s="15">
        <v>61</v>
      </c>
      <c r="G21" s="15">
        <v>107</v>
      </c>
      <c r="H21" s="15">
        <v>10</v>
      </c>
      <c r="I21" s="15">
        <v>3560</v>
      </c>
      <c r="J21" s="15">
        <v>81</v>
      </c>
      <c r="K21" s="15">
        <f>ROUND(IMDIV(B21,J21),2)</f>
        <v>0.38</v>
      </c>
      <c r="L21" s="17">
        <f>E21/J21</f>
        <v>0</v>
      </c>
      <c r="M21" s="17">
        <f>D21/J21</f>
        <v>4.9382716049382713E-2</v>
      </c>
      <c r="N21" s="15">
        <f>ROUND(IMDIV(F21,J21),2)</f>
        <v>0.75</v>
      </c>
      <c r="O21" s="15">
        <f>ROUND(IMDIV(G21,J21),2)</f>
        <v>1.32</v>
      </c>
      <c r="P21" s="15">
        <f>ROUND(IMDIV(H21,J21),2)</f>
        <v>0.12</v>
      </c>
      <c r="Q21" s="15">
        <f>ROUND(IMDIV(B21,F21),2)</f>
        <v>0.51</v>
      </c>
      <c r="R21" s="15">
        <f>ROUND(IMDIV(C21,B21),4)*100</f>
        <v>41.94</v>
      </c>
      <c r="S21" s="15">
        <f>ROUND(IMDIV(I21,J21),2)</f>
        <v>43.95</v>
      </c>
      <c r="T21" s="16" t="s">
        <v>42</v>
      </c>
      <c r="U21" s="16" t="s">
        <v>24</v>
      </c>
      <c r="V21" s="45">
        <f>((K21/2.5)+(M21/4)+(L21/5)-(N21)+(S21/215)+(P21/20))+1</f>
        <v>0.62476428366350845</v>
      </c>
    </row>
    <row r="22" spans="1:22" x14ac:dyDescent="0.25">
      <c r="A22" s="46" t="s">
        <v>44</v>
      </c>
      <c r="B22" s="47">
        <v>3</v>
      </c>
      <c r="C22" s="47">
        <v>2</v>
      </c>
      <c r="D22" s="47">
        <v>1</v>
      </c>
      <c r="E22" s="47">
        <v>1</v>
      </c>
      <c r="F22" s="47">
        <v>12</v>
      </c>
      <c r="G22" s="47">
        <v>43</v>
      </c>
      <c r="H22" s="47">
        <v>0</v>
      </c>
      <c r="I22" s="47">
        <v>432</v>
      </c>
      <c r="J22" s="47">
        <v>16</v>
      </c>
      <c r="K22" s="48">
        <f>ROUND(IMDIV(B22,J22),2)</f>
        <v>0.19</v>
      </c>
      <c r="L22" s="49">
        <f>E22/J22</f>
        <v>6.25E-2</v>
      </c>
      <c r="M22" s="49">
        <f>D22/J22</f>
        <v>6.25E-2</v>
      </c>
      <c r="N22" s="48">
        <f>ROUND(IMDIV(F22,J22),2)</f>
        <v>0.75</v>
      </c>
      <c r="O22" s="48">
        <f>ROUND(IMDIV(G22,J22),2)</f>
        <v>2.69</v>
      </c>
      <c r="P22" s="48">
        <f>ROUND(IMDIV(H22,J22),2)</f>
        <v>0</v>
      </c>
      <c r="Q22" s="48">
        <f>ROUND(IMDIV(B22,F22),2)</f>
        <v>0.25</v>
      </c>
      <c r="R22" s="48">
        <f>ROUND(IMDIV(C22,B22),4)*100</f>
        <v>66.67</v>
      </c>
      <c r="S22" s="48">
        <f>ROUND(IMDIV(I22,J22),2)</f>
        <v>27</v>
      </c>
      <c r="T22" s="47" t="s">
        <v>45</v>
      </c>
      <c r="U22" s="47" t="s">
        <v>24</v>
      </c>
      <c r="V22" s="45">
        <f>((K22/2.5)+(M22/4)+(L22/5)-(N22)+(S22/215)+(P22/20))+1</f>
        <v>0.47970639534883719</v>
      </c>
    </row>
  </sheetData>
  <sortState xmlns:xlrd2="http://schemas.microsoft.com/office/spreadsheetml/2017/richdata2" ref="A2:V22">
    <sortCondition sortBy="cellColor" ref="A22" dxfId="0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aa6760-dc32-42b1-9af8-b6b7dd0c31e7}" enabled="1" method="Standard" siteId="{9fdb1b0c-e154-4e66-9ecb-b70f283e1e7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JR-EXT Patrick</dc:creator>
  <cp:lastModifiedBy>BRADY JR-EXT Patrick</cp:lastModifiedBy>
  <dcterms:created xsi:type="dcterms:W3CDTF">2026-01-28T14:09:48Z</dcterms:created>
  <dcterms:modified xsi:type="dcterms:W3CDTF">2026-03-17T17:46:25Z</dcterms:modified>
</cp:coreProperties>
</file>