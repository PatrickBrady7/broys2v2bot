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B11328A6-938A-4560-87C2-A6D82E48F290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<sst xmlns="http://schemas.openxmlformats.org/spreadsheetml/2006/main" count="59" uniqueCount="33">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</sst>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4" fillId="5" borderId="1" xfId="0" applyFont="1" applyFill="1" applyBorder="1" applyAlignment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5" fillId="3" borderId="1" xfId="0" applyNumberFormat="1" applyFont="1" applyFill="1" applyBorder="1"/>
    <xf numFmtId="0" fontId="3" fillId="8" borderId="1" xfId="0" applyFont="1" applyFill="1" applyBorder="1"/>
    <xf numFmtId="0" fontId="5" fillId="8" borderId="1" xfId="0" applyFont="1" applyFill="1" applyBorder="1"/>
    <xf numFmtId="0" fontId="3" fillId="7" borderId="1" xfId="0" applyFont="1" applyFill="1" applyBorder="1"/>
    <xf numFmtId="0" fontId="3" fillId="2" borderId="0" xfId="0" applyFont="1" applyFill="1" applyBorder="1"/>
    <xf numFmtId="0" fontId="5" fillId="7" borderId="1" xfId="0" applyFont="1" applyFill="1" applyBorder="1"/>
    <xf numFmtId="0" fontId="3" fillId="9" borderId="0" xfId="0" applyFont="1" applyFill="1" applyBorder="1"/>
    <xf numFmtId="0" fontId="5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2" fillId="5" borderId="1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23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98"/>
  <sheetViews>
    <sheetView tabSelected="1" workbookViewId="0">
      <selection activeCell="T12" sqref="T12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7" t="s">
        <v>15</v>
      </c>
      <c r="Q1" s="7" t="s">
        <v>16</v>
      </c>
    </row>
    <row r="2" spans="1:17" x14ac:dyDescent="0.25">
      <c r="A2" s="4" t="s">
        <v>25</v>
      </c>
      <c r="B2" s="24">
        <v>0</v>
      </c>
      <c r="C2" s="24">
        <v>0</v>
      </c>
      <c r="D2" s="24">
        <v>8</v>
      </c>
      <c r="E2" s="24">
        <v>0</v>
      </c>
      <c r="F2" s="24">
        <v>2</v>
      </c>
      <c r="G2" s="24">
        <v>360</v>
      </c>
      <c r="H2" s="24">
        <v>9</v>
      </c>
      <c r="I2" s="4">
        <f>ROUND(IMDIV(B2,H2),2)</f>
        <v>0</v>
      </c>
      <c r="J2" s="4">
        <f>ROUND(IMDIV(D2,H2),2)</f>
        <v>0.89</v>
      </c>
      <c r="K2" s="4">
        <f>ROUND(IMDIV(E2,H2),2)</f>
        <v>0</v>
      </c>
      <c r="L2" s="4">
        <f>ROUND(IMDIV(F2,H2),2)</f>
        <v>0.22</v>
      </c>
      <c r="M2" s="4">
        <f>ROUND(IMDIV(B2,D2),2)</f>
        <v>0</v>
      </c>
      <c r="N2" s="4" t="e">
        <f>ROUND(IMDIV(C2,B2),4)*100</f>
        <v>#NUM!</v>
      </c>
      <c r="O2" s="4">
        <f>ROUND(IMDIV(G2,H2),2)</f>
        <v>40</v>
      </c>
      <c r="P2" s="4" t="s">
        <v>32</v>
      </c>
      <c r="Q2" s="4" t="s">
        <v>28</v>
      </c>
    </row>
    <row r="3" spans="1:17" x14ac:dyDescent="0.25">
      <c r="A3" s="4" t="s">
        <v>29</v>
      </c>
      <c r="B3" s="24">
        <v>3</v>
      </c>
      <c r="C3" s="24">
        <v>0</v>
      </c>
      <c r="D3" s="24">
        <v>9</v>
      </c>
      <c r="E3" s="4">
        <v>0</v>
      </c>
      <c r="F3" s="24">
        <v>0</v>
      </c>
      <c r="G3" s="5">
        <v>351</v>
      </c>
      <c r="H3" s="24">
        <v>9</v>
      </c>
      <c r="I3" s="4">
        <f t="shared" ref="I3:I15" si="0">ROUND(IMDIV(B3,H3),2)</f>
        <v>0.33</v>
      </c>
      <c r="J3" s="4">
        <f t="shared" ref="J3:J15" si="1">ROUND(IMDIV(D3,H3),2)</f>
        <v>1</v>
      </c>
      <c r="K3" s="4">
        <f t="shared" ref="K3:K15" si="2">ROUND(IMDIV(E3,H3),2)</f>
        <v>0</v>
      </c>
      <c r="L3" s="4">
        <f t="shared" ref="L3:L15" si="3">ROUND(IMDIV(F3,H3),2)</f>
        <v>0</v>
      </c>
      <c r="M3" s="4">
        <f t="shared" ref="M3:M15" si="4">ROUND(IMDIV(B3,D3),2)</f>
        <v>0.33</v>
      </c>
      <c r="N3" s="4">
        <f t="shared" ref="N3:N15" si="5">ROUND(IMDIV(C3,B3),4)*100</f>
        <v>0</v>
      </c>
      <c r="O3" s="4">
        <f t="shared" ref="O3:O15" si="6">ROUND(IMDIV(G3,H3),2)</f>
        <v>39</v>
      </c>
      <c r="P3" s="4" t="s">
        <v>32</v>
      </c>
      <c r="Q3" s="4" t="s">
        <v>28</v>
      </c>
    </row>
    <row r="4" spans="1:17" x14ac:dyDescent="0.25">
      <c r="A4" s="12" t="s">
        <v>30</v>
      </c>
      <c r="B4" s="12">
        <v>9</v>
      </c>
      <c r="C4" s="12">
        <v>6</v>
      </c>
      <c r="D4" s="12">
        <v>17</v>
      </c>
      <c r="E4" s="12">
        <v>46</v>
      </c>
      <c r="F4" s="12">
        <v>8</v>
      </c>
      <c r="G4" s="12">
        <v>1566</v>
      </c>
      <c r="H4" s="12">
        <v>27</v>
      </c>
      <c r="I4" s="17">
        <f t="shared" si="0"/>
        <v>0.33</v>
      </c>
      <c r="J4" s="17">
        <f t="shared" si="1"/>
        <v>0.63</v>
      </c>
      <c r="K4" s="17">
        <f t="shared" si="2"/>
        <v>1.7</v>
      </c>
      <c r="L4" s="17">
        <f t="shared" si="3"/>
        <v>0.3</v>
      </c>
      <c r="M4" s="17">
        <f t="shared" si="4"/>
        <v>0.53</v>
      </c>
      <c r="N4" s="17">
        <f t="shared" si="5"/>
        <v>66.67</v>
      </c>
      <c r="O4" s="17">
        <f t="shared" si="6"/>
        <v>58</v>
      </c>
      <c r="P4" s="14" t="s">
        <v>32</v>
      </c>
      <c r="Q4" s="12" t="s">
        <v>28</v>
      </c>
    </row>
    <row r="5" spans="1:17" x14ac:dyDescent="0.25">
      <c r="A5" s="12" t="s">
        <v>31</v>
      </c>
      <c r="B5" s="12">
        <v>20</v>
      </c>
      <c r="C5" s="12">
        <v>12</v>
      </c>
      <c r="D5" s="12">
        <v>17</v>
      </c>
      <c r="E5" s="12">
        <v>146</v>
      </c>
      <c r="F5" s="12">
        <v>5</v>
      </c>
      <c r="G5" s="12">
        <v>2295</v>
      </c>
      <c r="H5" s="12">
        <v>27</v>
      </c>
      <c r="I5" s="17">
        <f t="shared" si="0"/>
        <v>0.74</v>
      </c>
      <c r="J5" s="17">
        <f t="shared" si="1"/>
        <v>0.63</v>
      </c>
      <c r="K5" s="17">
        <f t="shared" si="2"/>
        <v>5.41</v>
      </c>
      <c r="L5" s="17">
        <f t="shared" si="3"/>
        <v>0.19</v>
      </c>
      <c r="M5" s="17">
        <f t="shared" si="4"/>
        <v>1.18</v>
      </c>
      <c r="N5" s="17">
        <f t="shared" si="5"/>
        <v>60</v>
      </c>
      <c r="O5" s="17">
        <f t="shared" si="6"/>
        <v>85</v>
      </c>
      <c r="P5" s="14" t="s">
        <v>32</v>
      </c>
      <c r="Q5" s="12" t="s">
        <v>28</v>
      </c>
    </row>
    <row r="6" spans="1:17" x14ac:dyDescent="0.25">
      <c r="A6" s="2" t="s">
        <v>26</v>
      </c>
      <c r="B6" s="2">
        <v>21</v>
      </c>
      <c r="C6" s="2">
        <v>8</v>
      </c>
      <c r="D6" s="2">
        <v>19</v>
      </c>
      <c r="E6" s="2">
        <v>100</v>
      </c>
      <c r="F6" s="2">
        <v>0</v>
      </c>
      <c r="G6" s="2">
        <v>2430</v>
      </c>
      <c r="H6" s="2">
        <v>30</v>
      </c>
      <c r="I6" s="18">
        <f t="shared" si="0"/>
        <v>0.7</v>
      </c>
      <c r="J6" s="18">
        <f t="shared" si="1"/>
        <v>0.63</v>
      </c>
      <c r="K6" s="18">
        <f t="shared" si="2"/>
        <v>3.33</v>
      </c>
      <c r="L6" s="18">
        <f t="shared" si="3"/>
        <v>0</v>
      </c>
      <c r="M6" s="18">
        <f t="shared" si="4"/>
        <v>1.1100000000000001</v>
      </c>
      <c r="N6" s="18">
        <f t="shared" si="5"/>
        <v>38.1</v>
      </c>
      <c r="O6" s="18">
        <f t="shared" si="6"/>
        <v>81</v>
      </c>
      <c r="P6" s="6" t="s">
        <v>32</v>
      </c>
      <c r="Q6" s="2" t="s">
        <v>28</v>
      </c>
    </row>
    <row r="7" spans="1:17" x14ac:dyDescent="0.25">
      <c r="A7" s="2" t="s">
        <v>19</v>
      </c>
      <c r="B7" s="2">
        <v>13</v>
      </c>
      <c r="C7" s="2">
        <v>7</v>
      </c>
      <c r="D7" s="2">
        <v>23</v>
      </c>
      <c r="E7" s="2">
        <v>11</v>
      </c>
      <c r="F7" s="2">
        <v>1</v>
      </c>
      <c r="G7" s="2">
        <v>1842</v>
      </c>
      <c r="H7" s="2">
        <v>30</v>
      </c>
      <c r="I7" s="18">
        <f t="shared" si="0"/>
        <v>0.43</v>
      </c>
      <c r="J7" s="18">
        <f t="shared" si="1"/>
        <v>0.77</v>
      </c>
      <c r="K7" s="18">
        <f t="shared" si="2"/>
        <v>0.37</v>
      </c>
      <c r="L7" s="18">
        <f t="shared" si="3"/>
        <v>0.03</v>
      </c>
      <c r="M7" s="18">
        <f t="shared" si="4"/>
        <v>0.56999999999999995</v>
      </c>
      <c r="N7" s="18">
        <f t="shared" si="5"/>
        <v>53.849999999999994</v>
      </c>
      <c r="O7" s="18">
        <f t="shared" si="6"/>
        <v>61.4</v>
      </c>
      <c r="P7" s="9" t="s">
        <v>32</v>
      </c>
      <c r="Q7" s="2" t="s">
        <v>28</v>
      </c>
    </row>
    <row r="8" spans="1:17" x14ac:dyDescent="0.25">
      <c r="A8" s="3" t="s">
        <v>21</v>
      </c>
      <c r="B8" s="3">
        <v>20</v>
      </c>
      <c r="C8" s="3">
        <v>9</v>
      </c>
      <c r="D8" s="3">
        <v>11</v>
      </c>
      <c r="E8" s="3">
        <v>102</v>
      </c>
      <c r="F8" s="3">
        <v>6</v>
      </c>
      <c r="G8" s="3">
        <v>2009</v>
      </c>
      <c r="H8" s="3">
        <v>25</v>
      </c>
      <c r="I8" s="19">
        <f t="shared" si="0"/>
        <v>0.8</v>
      </c>
      <c r="J8" s="19">
        <f t="shared" si="1"/>
        <v>0.44</v>
      </c>
      <c r="K8" s="19">
        <f t="shared" si="2"/>
        <v>4.08</v>
      </c>
      <c r="L8" s="19">
        <f t="shared" si="3"/>
        <v>0.24</v>
      </c>
      <c r="M8" s="19">
        <f t="shared" si="4"/>
        <v>1.82</v>
      </c>
      <c r="N8" s="19">
        <f t="shared" si="5"/>
        <v>45</v>
      </c>
      <c r="O8" s="19">
        <f t="shared" si="6"/>
        <v>80.36</v>
      </c>
      <c r="P8" s="3" t="s">
        <v>32</v>
      </c>
      <c r="Q8" s="3" t="s">
        <v>28</v>
      </c>
    </row>
    <row r="9" spans="1:17" x14ac:dyDescent="0.25">
      <c r="A9" s="3" t="s">
        <v>22</v>
      </c>
      <c r="B9" s="3">
        <v>19</v>
      </c>
      <c r="C9" s="3">
        <v>6</v>
      </c>
      <c r="D9" s="3">
        <v>11</v>
      </c>
      <c r="E9" s="3">
        <v>47</v>
      </c>
      <c r="F9" s="3">
        <v>2</v>
      </c>
      <c r="G9" s="3">
        <v>2311</v>
      </c>
      <c r="H9" s="3">
        <v>25</v>
      </c>
      <c r="I9" s="19">
        <f t="shared" si="0"/>
        <v>0.76</v>
      </c>
      <c r="J9" s="19">
        <f t="shared" si="1"/>
        <v>0.44</v>
      </c>
      <c r="K9" s="19">
        <f t="shared" si="2"/>
        <v>1.88</v>
      </c>
      <c r="L9" s="19">
        <f t="shared" si="3"/>
        <v>0.08</v>
      </c>
      <c r="M9" s="19">
        <f t="shared" si="4"/>
        <v>1.73</v>
      </c>
      <c r="N9" s="19">
        <f t="shared" si="5"/>
        <v>31.580000000000002</v>
      </c>
      <c r="O9" s="19">
        <f t="shared" si="6"/>
        <v>92.44</v>
      </c>
      <c r="P9" s="3" t="s">
        <v>32</v>
      </c>
      <c r="Q9" s="3" t="s">
        <v>28</v>
      </c>
    </row>
    <row r="10" spans="1:17" x14ac:dyDescent="0.25">
      <c r="A10" s="10" t="s">
        <v>20</v>
      </c>
      <c r="B10" s="10">
        <v>16</v>
      </c>
      <c r="C10" s="10">
        <v>7</v>
      </c>
      <c r="D10" s="10">
        <v>16</v>
      </c>
      <c r="E10" s="10">
        <v>154</v>
      </c>
      <c r="F10" s="10">
        <v>6</v>
      </c>
      <c r="G10" s="10">
        <v>1818</v>
      </c>
      <c r="H10" s="10">
        <v>36</v>
      </c>
      <c r="I10" s="20">
        <f t="shared" si="0"/>
        <v>0.44</v>
      </c>
      <c r="J10" s="20">
        <f t="shared" si="1"/>
        <v>0.44</v>
      </c>
      <c r="K10" s="20">
        <f t="shared" si="2"/>
        <v>4.28</v>
      </c>
      <c r="L10" s="20">
        <f t="shared" si="3"/>
        <v>0.17</v>
      </c>
      <c r="M10" s="20">
        <f t="shared" si="4"/>
        <v>1</v>
      </c>
      <c r="N10" s="20">
        <f t="shared" si="5"/>
        <v>43.75</v>
      </c>
      <c r="O10" s="20">
        <f t="shared" si="6"/>
        <v>50.5</v>
      </c>
      <c r="P10" s="11" t="s">
        <v>32</v>
      </c>
      <c r="Q10" s="10" t="s">
        <v>28</v>
      </c>
    </row>
    <row r="11" spans="1:17" x14ac:dyDescent="0.25">
      <c r="A11" s="10" t="s">
        <v>27</v>
      </c>
      <c r="B11" s="10">
        <v>35</v>
      </c>
      <c r="C11" s="10">
        <v>19</v>
      </c>
      <c r="D11" s="10">
        <v>16</v>
      </c>
      <c r="E11" s="10">
        <v>241</v>
      </c>
      <c r="F11" s="10">
        <v>9</v>
      </c>
      <c r="G11" s="10">
        <v>3537</v>
      </c>
      <c r="H11" s="10">
        <v>36</v>
      </c>
      <c r="I11" s="20">
        <f t="shared" si="0"/>
        <v>0.97</v>
      </c>
      <c r="J11" s="20">
        <f t="shared" si="1"/>
        <v>0.44</v>
      </c>
      <c r="K11" s="20">
        <f t="shared" si="2"/>
        <v>6.69</v>
      </c>
      <c r="L11" s="20">
        <f t="shared" si="3"/>
        <v>0.25</v>
      </c>
      <c r="M11" s="20">
        <f t="shared" si="4"/>
        <v>2.19</v>
      </c>
      <c r="N11" s="20">
        <f t="shared" si="5"/>
        <v>54.290000000000006</v>
      </c>
      <c r="O11" s="20">
        <f t="shared" si="6"/>
        <v>98.25</v>
      </c>
      <c r="P11" s="11" t="s">
        <v>32</v>
      </c>
      <c r="Q11" s="10" t="s">
        <v>28</v>
      </c>
    </row>
    <row r="12" spans="1:17" ht="15" customHeight="1" x14ac:dyDescent="0.25">
      <c r="A12" s="15" t="s">
        <v>23</v>
      </c>
      <c r="B12" s="23">
        <v>18</v>
      </c>
      <c r="C12" s="23">
        <v>12</v>
      </c>
      <c r="D12" s="23">
        <v>19</v>
      </c>
      <c r="E12" s="23">
        <v>133</v>
      </c>
      <c r="F12" s="23">
        <v>9</v>
      </c>
      <c r="G12" s="23">
        <v>2152</v>
      </c>
      <c r="H12" s="23">
        <v>25</v>
      </c>
      <c r="I12" s="21">
        <f t="shared" si="0"/>
        <v>0.72</v>
      </c>
      <c r="J12" s="21">
        <f t="shared" si="1"/>
        <v>0.76</v>
      </c>
      <c r="K12" s="21">
        <f t="shared" si="2"/>
        <v>5.32</v>
      </c>
      <c r="L12" s="21">
        <f t="shared" si="3"/>
        <v>0.36</v>
      </c>
      <c r="M12" s="21">
        <f t="shared" si="4"/>
        <v>0.95</v>
      </c>
      <c r="N12" s="21">
        <f t="shared" si="5"/>
        <v>66.67</v>
      </c>
      <c r="O12" s="21">
        <f t="shared" si="6"/>
        <v>86.08</v>
      </c>
      <c r="P12" s="16" t="s">
        <v>32</v>
      </c>
      <c r="Q12" s="15" t="s">
        <v>28</v>
      </c>
    </row>
    <row r="13" spans="1:17" ht="15" customHeight="1" x14ac:dyDescent="0.25">
      <c r="A13" s="15" t="s">
        <v>24</v>
      </c>
      <c r="B13" s="23">
        <v>6</v>
      </c>
      <c r="C13" s="23">
        <v>3</v>
      </c>
      <c r="D13" s="23">
        <v>20</v>
      </c>
      <c r="E13" s="23">
        <v>27</v>
      </c>
      <c r="F13" s="23">
        <v>1</v>
      </c>
      <c r="G13" s="23">
        <v>904</v>
      </c>
      <c r="H13" s="23">
        <v>25</v>
      </c>
      <c r="I13" s="21">
        <f t="shared" si="0"/>
        <v>0.24</v>
      </c>
      <c r="J13" s="21">
        <f t="shared" si="1"/>
        <v>0.8</v>
      </c>
      <c r="K13" s="21">
        <f t="shared" si="2"/>
        <v>1.08</v>
      </c>
      <c r="L13" s="21">
        <f t="shared" si="3"/>
        <v>0.04</v>
      </c>
      <c r="M13" s="21">
        <f t="shared" si="4"/>
        <v>0.3</v>
      </c>
      <c r="N13" s="21">
        <f t="shared" si="5"/>
        <v>50</v>
      </c>
      <c r="O13" s="21">
        <f t="shared" si="6"/>
        <v>36.159999999999997</v>
      </c>
      <c r="P13" s="16" t="s">
        <v>32</v>
      </c>
      <c r="Q13" s="15" t="s">
        <v>28</v>
      </c>
    </row>
    <row r="14" spans="1:17" ht="15" customHeight="1" x14ac:dyDescent="0.25">
      <c r="A14" s="13" t="s">
        <v>17</v>
      </c>
      <c r="B14" s="13">
        <v>21</v>
      </c>
      <c r="C14" s="13">
        <v>8</v>
      </c>
      <c r="D14" s="13">
        <v>18</v>
      </c>
      <c r="E14" s="13">
        <v>47</v>
      </c>
      <c r="F14" s="13">
        <v>3</v>
      </c>
      <c r="G14" s="13">
        <v>2390</v>
      </c>
      <c r="H14" s="13">
        <v>30</v>
      </c>
      <c r="I14" s="22">
        <f t="shared" si="0"/>
        <v>0.7</v>
      </c>
      <c r="J14" s="22">
        <f t="shared" si="1"/>
        <v>0.6</v>
      </c>
      <c r="K14" s="22">
        <f t="shared" si="2"/>
        <v>1.57</v>
      </c>
      <c r="L14" s="22">
        <f t="shared" si="3"/>
        <v>0.1</v>
      </c>
      <c r="M14" s="22">
        <f t="shared" si="4"/>
        <v>1.17</v>
      </c>
      <c r="N14" s="22">
        <f t="shared" si="5"/>
        <v>38.1</v>
      </c>
      <c r="O14" s="22">
        <f t="shared" si="6"/>
        <v>79.67</v>
      </c>
      <c r="P14" s="13" t="s">
        <v>32</v>
      </c>
      <c r="Q14" s="13" t="s">
        <v>28</v>
      </c>
    </row>
    <row r="15" spans="1:17" ht="15" customHeight="1" x14ac:dyDescent="0.25">
      <c r="A15" s="13" t="s">
        <v>18</v>
      </c>
      <c r="B15" s="13">
        <v>20</v>
      </c>
      <c r="C15" s="13">
        <v>12</v>
      </c>
      <c r="D15" s="13">
        <v>18</v>
      </c>
      <c r="E15" s="13">
        <v>40</v>
      </c>
      <c r="F15" s="13">
        <v>2</v>
      </c>
      <c r="G15" s="13">
        <v>2198</v>
      </c>
      <c r="H15" s="13">
        <v>30</v>
      </c>
      <c r="I15" s="22">
        <f t="shared" si="0"/>
        <v>0.67</v>
      </c>
      <c r="J15" s="22">
        <f t="shared" si="1"/>
        <v>0.6</v>
      </c>
      <c r="K15" s="22">
        <f t="shared" si="2"/>
        <v>1.33</v>
      </c>
      <c r="L15" s="22">
        <f t="shared" si="3"/>
        <v>7.0000000000000007E-2</v>
      </c>
      <c r="M15" s="22">
        <f t="shared" si="4"/>
        <v>1.1100000000000001</v>
      </c>
      <c r="N15" s="22">
        <f t="shared" si="5"/>
        <v>60</v>
      </c>
      <c r="O15" s="22">
        <f t="shared" si="6"/>
        <v>73.27</v>
      </c>
      <c r="P15" s="13" t="s">
        <v>32</v>
      </c>
      <c r="Q15" s="13" t="s">
        <v>28</v>
      </c>
    </row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sortState xmlns:xlrd2="http://schemas.microsoft.com/office/spreadsheetml/2017/richdata2" ref="A2:Q15">
    <sortCondition sortBy="cellColor" ref="B15" dxfId="0"/>
  </sortState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2025-09-15T19:21:33Z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