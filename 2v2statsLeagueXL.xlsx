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127ECDAB-8309-40D2-AA3C-D4805AE194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15" i="1" l="1"/>
  <c r="O3" i="1"/>
  <c r="O2" i="1"/>
  <c r="O6" i="1"/>
  <c r="O7" i="1"/>
  <c r="O4" i="1"/>
  <c r="O5" i="1"/>
  <c r="O9" i="1"/>
  <c r="O8" i="1"/>
  <c r="O12" i="1"/>
  <c r="O13" i="1"/>
  <c r="O10" i="1"/>
  <c r="O11" i="1"/>
  <c r="O14" i="1"/>
  <c r="N15" i="1"/>
  <c r="N3" i="1"/>
  <c r="N2" i="1"/>
  <c r="N6" i="1"/>
  <c r="N7" i="1"/>
  <c r="N4" i="1"/>
  <c r="N5" i="1"/>
  <c r="N9" i="1"/>
  <c r="N8" i="1"/>
  <c r="N12" i="1"/>
  <c r="N13" i="1"/>
  <c r="N10" i="1"/>
  <c r="N11" i="1"/>
  <c r="N14" i="1"/>
  <c r="M15" i="1"/>
  <c r="M3" i="1"/>
  <c r="M2" i="1"/>
  <c r="M6" i="1"/>
  <c r="M7" i="1"/>
  <c r="M4" i="1"/>
  <c r="M5" i="1"/>
  <c r="M9" i="1"/>
  <c r="M8" i="1"/>
  <c r="M12" i="1"/>
  <c r="M13" i="1"/>
  <c r="M10" i="1"/>
  <c r="M11" i="1"/>
  <c r="M14" i="1"/>
  <c r="L15" i="1"/>
  <c r="L3" i="1"/>
  <c r="L2" i="1"/>
  <c r="L6" i="1"/>
  <c r="L7" i="1"/>
  <c r="L4" i="1"/>
  <c r="L5" i="1"/>
  <c r="L9" i="1"/>
  <c r="L8" i="1"/>
  <c r="L12" i="1"/>
  <c r="L13" i="1"/>
  <c r="L10" i="1"/>
  <c r="L11" i="1"/>
  <c r="L14" i="1"/>
  <c r="K15" i="1"/>
  <c r="K3" i="1"/>
  <c r="K2" i="1"/>
  <c r="K6" i="1"/>
  <c r="K7" i="1"/>
  <c r="K4" i="1"/>
  <c r="K5" i="1"/>
  <c r="K9" i="1"/>
  <c r="K8" i="1"/>
  <c r="K12" i="1"/>
  <c r="K13" i="1"/>
  <c r="K10" i="1"/>
  <c r="K11" i="1"/>
  <c r="K14" i="1"/>
  <c r="J15" i="1"/>
  <c r="J3" i="1"/>
  <c r="J2" i="1"/>
  <c r="J6" i="1"/>
  <c r="J7" i="1"/>
  <c r="J4" i="1"/>
  <c r="J5" i="1"/>
  <c r="J9" i="1"/>
  <c r="J8" i="1"/>
  <c r="J12" i="1"/>
  <c r="J13" i="1"/>
  <c r="J10" i="1"/>
  <c r="J11" i="1"/>
  <c r="J14" i="1"/>
  <c r="I15" i="1"/>
  <c r="I3" i="1"/>
  <c r="I2" i="1"/>
  <c r="I6" i="1"/>
  <c r="I7" i="1"/>
  <c r="I4" i="1"/>
  <c r="I5" i="1"/>
  <c r="I9" i="1"/>
  <c r="I8" i="1"/>
  <c r="I12" i="1"/>
  <c r="I13" i="1"/>
  <c r="I10" i="1"/>
  <c r="I11" i="1"/>
  <c r="I14" i="1"/>
</calcChain>
</file>

<file path=xl/sharedStrings.xml><?xml version="1.0" encoding="utf-8"?>
<sst xmlns="http://schemas.openxmlformats.org/spreadsheetml/2006/main" count="59" uniqueCount="38">
  <si>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</si>
  <si>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</si>
  <si>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</si>
  <si>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</si>
  <si>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</si>
  <si>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</si>
  <si>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</si>
  <si>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</si>
  <si>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</si>
  <si>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</si>
  <si>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</si>
  <si>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</si>
  <si>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</si>
  <si>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</si>
  <si>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</si>
  <si>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</si>
  <si>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</si>
  <si>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</si>
  <si>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</si>
  <si>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</si>
  <si>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</si>
  <si>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</si>
  <si>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</si>
  <si>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</si>
  <si>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</si>
  <si>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</si>
  <si>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</si>
  <si>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</si>
  <si>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</si>
  <si>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</si>
  <si>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</si>
  <si>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</si>
  <si>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7th</t>
  </si>
  <si>
    <t>6th</t>
  </si>
  <si>
    <t>5th</t>
  </si>
  <si>
    <t>1st-2nd</t>
  </si>
  <si>
    <t>3rd-4th</t>
  </si>
  <si>
    <t>EVP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</si>
</sst>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4" fillId="3" borderId="1" xfId="0" applyNumberFormat="1" applyFont="1" applyFill="1" applyBorder="1"/>
    <xf numFmtId="0" fontId="3" fillId="8" borderId="1" xfId="0" applyFont="1" applyFill="1" applyBorder="1"/>
    <xf numFmtId="0" fontId="4" fillId="8" borderId="1" xfId="0" applyFont="1" applyFill="1" applyBorder="1"/>
    <xf numFmtId="0" fontId="3" fillId="7" borderId="1" xfId="0" applyFont="1" applyFill="1" applyBorder="1"/>
    <xf numFmtId="0" fontId="4" fillId="7" borderId="1" xfId="0" applyFont="1" applyFill="1" applyBorder="1"/>
    <xf numFmtId="0" fontId="3" fillId="9" borderId="0" xfId="0" applyFont="1" applyFill="1" applyBorder="1"/>
    <xf numFmtId="0" fontId="4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3" fillId="2" borderId="1" xfId="0" applyFont="1" applyFill="1" applyBorder="1"/>
    <xf numFmtId="0" fontId="3" fillId="5" borderId="0" xfId="0" applyFont="1" applyFill="1" applyBorder="1"/>
    <xf numFmtId="0" fontId="2" fillId="5" borderId="0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FFC000"/>
          <bgColor rgb="FFBF4F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workbookViewId="0">
      <selection activeCell="U13" sqref="U13"/>
    </sheetView>
  </sheetViews>
  <sheetFormatPr defaultColWidth="12.5703125" defaultRowHeight="15" customHeight="1" x14ac:dyDescent="0.25"/>
  <cols>
    <col min="1" max="15" width="8.5703125" customWidth="1"/>
    <col min="16" max="16" width="10.28515625" customWidth="1"/>
    <col min="17" max="26" width="8.5703125" customWidth="1"/>
  </cols>
  <sheetData>
    <row r="1" spans="1:17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15</v>
      </c>
      <c r="Q1" s="6" t="s">
        <v>16</v>
      </c>
    </row>
    <row r="2" spans="1:17" x14ac:dyDescent="0.25">
      <c r="A2" s="11" t="s">
        <v>31</v>
      </c>
      <c r="B2" s="11">
        <v>82</v>
      </c>
      <c r="C2" s="11">
        <v>51</v>
      </c>
      <c r="D2" s="11">
        <v>67</v>
      </c>
      <c r="E2" s="11">
        <v>506</v>
      </c>
      <c r="F2" s="11">
        <v>21</v>
      </c>
      <c r="G2" s="11">
        <v>9496</v>
      </c>
      <c r="H2" s="11">
        <v>119</v>
      </c>
      <c r="I2" s="15">
        <f>ROUND(IMDIV(B2,H2),2)</f>
        <v>0.69</v>
      </c>
      <c r="J2" s="15">
        <f>ROUND(IMDIV(D2,H2),2)</f>
        <v>0.56000000000000005</v>
      </c>
      <c r="K2" s="15">
        <f>ROUND(IMDIV(E2,H2),2)</f>
        <v>4.25</v>
      </c>
      <c r="L2" s="15">
        <f>ROUND(IMDIV(F2,H2),2)</f>
        <v>0.18</v>
      </c>
      <c r="M2" s="15">
        <f>ROUND(IMDIV(B2,D2),2)</f>
        <v>1.22</v>
      </c>
      <c r="N2" s="15">
        <f>ROUND(IMDIV(C2,B2),4)*100</f>
        <v>62.2</v>
      </c>
      <c r="O2" s="15">
        <f>ROUND(IMDIV(G2,H2),2)</f>
        <v>79.8</v>
      </c>
      <c r="P2" s="12" t="s">
        <v>35</v>
      </c>
      <c r="Q2" s="11" t="s">
        <v>28</v>
      </c>
    </row>
    <row r="3" spans="1:17" x14ac:dyDescent="0.25">
      <c r="A3" s="11" t="s">
        <v>30</v>
      </c>
      <c r="B3" s="11">
        <v>87</v>
      </c>
      <c r="C3" s="11">
        <v>38</v>
      </c>
      <c r="D3" s="11">
        <v>65</v>
      </c>
      <c r="E3" s="11">
        <v>384</v>
      </c>
      <c r="F3" s="11">
        <v>22</v>
      </c>
      <c r="G3" s="11">
        <v>9576</v>
      </c>
      <c r="H3" s="11">
        <v>119</v>
      </c>
      <c r="I3" s="15">
        <f>ROUND(IMDIV(B3,H3),2)</f>
        <v>0.73</v>
      </c>
      <c r="J3" s="15">
        <f>ROUND(IMDIV(D3,H3),2)</f>
        <v>0.55000000000000004</v>
      </c>
      <c r="K3" s="15">
        <f>ROUND(IMDIV(E3,H3),2)</f>
        <v>3.23</v>
      </c>
      <c r="L3" s="15">
        <f>ROUND(IMDIV(F3,H3),2)</f>
        <v>0.18</v>
      </c>
      <c r="M3" s="15">
        <f>ROUND(IMDIV(B3,D3),2)</f>
        <v>1.34</v>
      </c>
      <c r="N3" s="15">
        <f>ROUND(IMDIV(C3,B3),4)*100</f>
        <v>43.68</v>
      </c>
      <c r="O3" s="15">
        <f>ROUND(IMDIV(G3,H3),2)</f>
        <v>80.47</v>
      </c>
      <c r="P3" s="12" t="s">
        <v>35</v>
      </c>
      <c r="Q3" s="11" t="s">
        <v>28</v>
      </c>
    </row>
    <row r="4" spans="1:17" x14ac:dyDescent="0.25">
      <c r="A4" s="3" t="s">
        <v>21</v>
      </c>
      <c r="B4" s="3">
        <v>105</v>
      </c>
      <c r="C4" s="3">
        <v>52</v>
      </c>
      <c r="D4" s="3">
        <v>66</v>
      </c>
      <c r="E4" s="3">
        <v>398</v>
      </c>
      <c r="F4" s="3">
        <v>30</v>
      </c>
      <c r="G4" s="3">
        <v>10873</v>
      </c>
      <c r="H4" s="3">
        <v>135</v>
      </c>
      <c r="I4" s="17">
        <f>ROUND(IMDIV(B4,H4),2)</f>
        <v>0.78</v>
      </c>
      <c r="J4" s="17">
        <f>ROUND(IMDIV(D4,H4),2)</f>
        <v>0.49</v>
      </c>
      <c r="K4" s="17">
        <f>ROUND(IMDIV(E4,H4),2)</f>
        <v>2.95</v>
      </c>
      <c r="L4" s="17">
        <f>ROUND(IMDIV(F4,H4),2)</f>
        <v>0.22</v>
      </c>
      <c r="M4" s="17">
        <f>ROUND(IMDIV(B4,D4),2)</f>
        <v>1.59</v>
      </c>
      <c r="N4" s="17">
        <f>ROUND(IMDIV(C4,B4),4)*100</f>
        <v>49.519999999999996</v>
      </c>
      <c r="O4" s="17">
        <f>ROUND(IMDIV(G4,H4),2)</f>
        <v>80.540000000000006</v>
      </c>
      <c r="P4" s="3" t="s">
        <v>35</v>
      </c>
      <c r="Q4" s="3" t="s">
        <v>28</v>
      </c>
    </row>
    <row r="5" spans="1:17" x14ac:dyDescent="0.25">
      <c r="A5" s="3" t="s">
        <v>22</v>
      </c>
      <c r="B5" s="3">
        <v>80</v>
      </c>
      <c r="C5" s="3">
        <v>34</v>
      </c>
      <c r="D5" s="3">
        <v>82</v>
      </c>
      <c r="E5" s="3">
        <v>343</v>
      </c>
      <c r="F5" s="3">
        <v>27</v>
      </c>
      <c r="G5" s="3">
        <v>9656</v>
      </c>
      <c r="H5" s="3">
        <v>135</v>
      </c>
      <c r="I5" s="17">
        <f>ROUND(IMDIV(B5,H5),2)</f>
        <v>0.59</v>
      </c>
      <c r="J5" s="17">
        <f>ROUND(IMDIV(D5,H5),2)</f>
        <v>0.61</v>
      </c>
      <c r="K5" s="17">
        <f>ROUND(IMDIV(E5,H5),2)</f>
        <v>2.54</v>
      </c>
      <c r="L5" s="17">
        <f>ROUND(IMDIV(F5,H5),2)</f>
        <v>0.2</v>
      </c>
      <c r="M5" s="17">
        <f>ROUND(IMDIV(B5,D5),2)</f>
        <v>0.98</v>
      </c>
      <c r="N5" s="17">
        <f>ROUND(IMDIV(C5,B5),4)*100</f>
        <v>42.5</v>
      </c>
      <c r="O5" s="17">
        <f>ROUND(IMDIV(G5,H5),2)</f>
        <v>71.53</v>
      </c>
      <c r="P5" s="3" t="s">
        <v>35</v>
      </c>
      <c r="Q5" s="3" t="s">
        <v>28</v>
      </c>
    </row>
    <row r="6" spans="1:17" x14ac:dyDescent="0.25">
      <c r="A6" s="2" t="s">
        <v>26</v>
      </c>
      <c r="B6" s="2">
        <v>116</v>
      </c>
      <c r="C6" s="2">
        <v>40</v>
      </c>
      <c r="D6" s="2">
        <v>83</v>
      </c>
      <c r="E6" s="2">
        <v>241</v>
      </c>
      <c r="F6" s="2">
        <v>7</v>
      </c>
      <c r="G6" s="2">
        <v>12488</v>
      </c>
      <c r="H6" s="2">
        <v>150</v>
      </c>
      <c r="I6" s="16">
        <f>ROUND(IMDIV(B6,H6),2)</f>
        <v>0.77</v>
      </c>
      <c r="J6" s="16">
        <f>ROUND(IMDIV(D6,H6),2)</f>
        <v>0.55000000000000004</v>
      </c>
      <c r="K6" s="16">
        <f>ROUND(IMDIV(E6,H6),2)</f>
        <v>1.61</v>
      </c>
      <c r="L6" s="16">
        <f>ROUND(IMDIV(F6,H6),2)</f>
        <v>0.05</v>
      </c>
      <c r="M6" s="16">
        <f>ROUND(IMDIV(B6,D6),2)</f>
        <v>1.4</v>
      </c>
      <c r="N6" s="16">
        <f>ROUND(IMDIV(C6,B6),4)*100</f>
        <v>34.479999999999997</v>
      </c>
      <c r="O6" s="16">
        <f>ROUND(IMDIV(G6,H6),2)</f>
        <v>83.25</v>
      </c>
      <c r="P6" s="5" t="s">
        <v>36</v>
      </c>
      <c r="Q6" s="2" t="s">
        <v>37</v>
      </c>
    </row>
    <row r="7" spans="1:17" x14ac:dyDescent="0.25">
      <c r="A7" s="2" t="s">
        <v>19</v>
      </c>
      <c r="B7" s="2">
        <v>76</v>
      </c>
      <c r="C7" s="2">
        <v>38</v>
      </c>
      <c r="D7" s="2">
        <v>88</v>
      </c>
      <c r="E7" s="2">
        <v>162</v>
      </c>
      <c r="F7" s="2">
        <v>15</v>
      </c>
      <c r="G7" s="2">
        <v>9484</v>
      </c>
      <c r="H7" s="2">
        <v>150</v>
      </c>
      <c r="I7" s="16">
        <f>ROUND(IMDIV(B7,H7),2)</f>
        <v>0.51</v>
      </c>
      <c r="J7" s="16">
        <f>ROUND(IMDIV(D7,H7),2)</f>
        <v>0.59</v>
      </c>
      <c r="K7" s="16">
        <f>ROUND(IMDIV(E7,H7),2)</f>
        <v>1.08</v>
      </c>
      <c r="L7" s="16">
        <f>ROUND(IMDIV(F7,H7),2)</f>
        <v>0.1</v>
      </c>
      <c r="M7" s="16">
        <f>ROUND(IMDIV(B7,D7),2)</f>
        <v>0.86</v>
      </c>
      <c r="N7" s="16">
        <f>ROUND(IMDIV(C7,B7),4)*100</f>
        <v>50</v>
      </c>
      <c r="O7" s="16">
        <f>ROUND(IMDIV(G7,H7),2)</f>
        <v>63.23</v>
      </c>
      <c r="P7" s="8" t="s">
        <v>36</v>
      </c>
      <c r="Q7" s="2" t="s">
        <v>28</v>
      </c>
    </row>
    <row r="8" spans="1:17" x14ac:dyDescent="0.25">
      <c r="A8" s="9" t="s">
        <v>27</v>
      </c>
      <c r="B8" s="9">
        <v>105</v>
      </c>
      <c r="C8" s="9">
        <v>52</v>
      </c>
      <c r="D8" s="9">
        <v>78</v>
      </c>
      <c r="E8" s="9">
        <v>1160</v>
      </c>
      <c r="F8" s="9">
        <v>25</v>
      </c>
      <c r="G8" s="9">
        <v>12319</v>
      </c>
      <c r="H8" s="9">
        <v>139</v>
      </c>
      <c r="I8" s="18">
        <f>ROUND(IMDIV(B8,H8),2)</f>
        <v>0.76</v>
      </c>
      <c r="J8" s="18">
        <f>ROUND(IMDIV(D8,H8),2)</f>
        <v>0.56000000000000005</v>
      </c>
      <c r="K8" s="18">
        <f>ROUND(IMDIV(E8,H8),2)</f>
        <v>8.35</v>
      </c>
      <c r="L8" s="18">
        <f>ROUND(IMDIV(F8,H8),2)</f>
        <v>0.18</v>
      </c>
      <c r="M8" s="18">
        <f>ROUND(IMDIV(B8,D8),2)</f>
        <v>1.35</v>
      </c>
      <c r="N8" s="18">
        <f>ROUND(IMDIV(C8,B8),4)*100</f>
        <v>49.519999999999996</v>
      </c>
      <c r="O8" s="18">
        <f>ROUND(IMDIV(G8,H8),2)</f>
        <v>88.63</v>
      </c>
      <c r="P8" s="10" t="s">
        <v>36</v>
      </c>
      <c r="Q8" s="9" t="s">
        <v>37</v>
      </c>
    </row>
    <row r="9" spans="1:17" x14ac:dyDescent="0.25">
      <c r="A9" s="9" t="s">
        <v>20</v>
      </c>
      <c r="B9" s="9">
        <v>73</v>
      </c>
      <c r="C9" s="9">
        <v>37</v>
      </c>
      <c r="D9" s="9">
        <v>86</v>
      </c>
      <c r="E9" s="9">
        <v>353</v>
      </c>
      <c r="F9" s="9">
        <v>27</v>
      </c>
      <c r="G9" s="9">
        <v>7930</v>
      </c>
      <c r="H9" s="9">
        <v>139</v>
      </c>
      <c r="I9" s="18">
        <f>ROUND(IMDIV(B9,H9),2)</f>
        <v>0.53</v>
      </c>
      <c r="J9" s="18">
        <f>ROUND(IMDIV(D9,H9),2)</f>
        <v>0.62</v>
      </c>
      <c r="K9" s="18">
        <f>ROUND(IMDIV(E9,H9),2)</f>
        <v>2.54</v>
      </c>
      <c r="L9" s="18">
        <f>ROUND(IMDIV(F9,H9),2)</f>
        <v>0.19</v>
      </c>
      <c r="M9" s="18">
        <f>ROUND(IMDIV(B9,D9),2)</f>
        <v>0.85</v>
      </c>
      <c r="N9" s="18">
        <f>ROUND(IMDIV(C9,B9),4)*100</f>
        <v>50.68</v>
      </c>
      <c r="O9" s="18">
        <f>ROUND(IMDIV(G9,H9),2)</f>
        <v>57.05</v>
      </c>
      <c r="P9" s="10" t="s">
        <v>36</v>
      </c>
      <c r="Q9" s="9" t="s">
        <v>28</v>
      </c>
    </row>
    <row r="10" spans="1:17" x14ac:dyDescent="0.25">
      <c r="A10" s="22" t="s">
        <v>17</v>
      </c>
      <c r="B10" s="22">
        <v>57</v>
      </c>
      <c r="C10" s="22">
        <v>27</v>
      </c>
      <c r="D10" s="22">
        <v>47</v>
      </c>
      <c r="E10" s="22">
        <v>159</v>
      </c>
      <c r="F10" s="22">
        <v>10</v>
      </c>
      <c r="G10" s="22">
        <v>6268</v>
      </c>
      <c r="H10" s="22">
        <v>78</v>
      </c>
      <c r="I10" s="20">
        <f>ROUND(IMDIV(B10,H10),2)</f>
        <v>0.73</v>
      </c>
      <c r="J10" s="20">
        <f>ROUND(IMDIV(D10,H10),2)</f>
        <v>0.6</v>
      </c>
      <c r="K10" s="20">
        <f>ROUND(IMDIV(E10,H10),2)</f>
        <v>2.04</v>
      </c>
      <c r="L10" s="20">
        <f>ROUND(IMDIV(F10,H10),2)</f>
        <v>0.13</v>
      </c>
      <c r="M10" s="20">
        <f>ROUND(IMDIV(B10,D10),2)</f>
        <v>1.21</v>
      </c>
      <c r="N10" s="20">
        <f>ROUND(IMDIV(C10,B10),4)*100</f>
        <v>47.370000000000005</v>
      </c>
      <c r="O10" s="20">
        <f>ROUND(IMDIV(G10,H10),2)</f>
        <v>80.36</v>
      </c>
      <c r="P10" s="22" t="s">
        <v>34</v>
      </c>
      <c r="Q10" s="22" t="s">
        <v>28</v>
      </c>
    </row>
    <row r="11" spans="1:17" x14ac:dyDescent="0.25">
      <c r="A11" s="22" t="s">
        <v>18</v>
      </c>
      <c r="B11" s="22">
        <v>43</v>
      </c>
      <c r="C11" s="22">
        <v>20</v>
      </c>
      <c r="D11" s="22">
        <v>51</v>
      </c>
      <c r="E11" s="22">
        <v>115</v>
      </c>
      <c r="F11" s="22">
        <v>15</v>
      </c>
      <c r="G11" s="22">
        <v>4982</v>
      </c>
      <c r="H11" s="22">
        <v>78</v>
      </c>
      <c r="I11" s="20">
        <f>ROUND(IMDIV(B11,H11),2)</f>
        <v>0.55000000000000004</v>
      </c>
      <c r="J11" s="20">
        <f>ROUND(IMDIV(D11,H11),2)</f>
        <v>0.65</v>
      </c>
      <c r="K11" s="20">
        <f>ROUND(IMDIV(E11,H11),2)</f>
        <v>1.47</v>
      </c>
      <c r="L11" s="20">
        <f>ROUND(IMDIV(F11,H11),2)</f>
        <v>0.19</v>
      </c>
      <c r="M11" s="20">
        <f>ROUND(IMDIV(B11,D11),2)</f>
        <v>0.84</v>
      </c>
      <c r="N11" s="20">
        <f>ROUND(IMDIV(C11,B11),4)*100</f>
        <v>46.51</v>
      </c>
      <c r="O11" s="20">
        <f>ROUND(IMDIV(G11,H11),2)</f>
        <v>63.87</v>
      </c>
      <c r="P11" s="22" t="s">
        <v>34</v>
      </c>
      <c r="Q11" s="22" t="s">
        <v>28</v>
      </c>
    </row>
    <row r="12" spans="1:17" ht="15" customHeight="1" x14ac:dyDescent="0.25">
      <c r="A12" s="13" t="s">
        <v>23</v>
      </c>
      <c r="B12" s="21">
        <v>56</v>
      </c>
      <c r="C12" s="21">
        <v>38</v>
      </c>
      <c r="D12" s="21">
        <v>50</v>
      </c>
      <c r="E12" s="21">
        <v>400</v>
      </c>
      <c r="F12" s="21">
        <v>29</v>
      </c>
      <c r="G12" s="21">
        <v>6996</v>
      </c>
      <c r="H12" s="21">
        <v>73</v>
      </c>
      <c r="I12" s="19">
        <f>ROUND(IMDIV(B12,H12),2)</f>
        <v>0.77</v>
      </c>
      <c r="J12" s="19">
        <f>ROUND(IMDIV(D12,H12),2)</f>
        <v>0.68</v>
      </c>
      <c r="K12" s="19">
        <f>ROUND(IMDIV(E12,H12),2)</f>
        <v>5.48</v>
      </c>
      <c r="L12" s="19">
        <f>ROUND(IMDIV(F12,H12),2)</f>
        <v>0.4</v>
      </c>
      <c r="M12" s="19">
        <f>ROUND(IMDIV(B12,D12),2)</f>
        <v>1.1200000000000001</v>
      </c>
      <c r="N12" s="19">
        <f>ROUND(IMDIV(C12,B12),4)*100</f>
        <v>67.86</v>
      </c>
      <c r="O12" s="19">
        <f>ROUND(IMDIV(G12,H12),2)</f>
        <v>95.84</v>
      </c>
      <c r="P12" s="14" t="s">
        <v>33</v>
      </c>
      <c r="Q12" s="13" t="s">
        <v>28</v>
      </c>
    </row>
    <row r="13" spans="1:17" ht="15" customHeight="1" x14ac:dyDescent="0.25">
      <c r="A13" s="13" t="s">
        <v>24</v>
      </c>
      <c r="B13" s="21">
        <v>18</v>
      </c>
      <c r="C13" s="21">
        <v>9</v>
      </c>
      <c r="D13" s="21">
        <v>53</v>
      </c>
      <c r="E13" s="21">
        <v>111</v>
      </c>
      <c r="F13" s="21">
        <v>16</v>
      </c>
      <c r="G13" s="21">
        <v>2380</v>
      </c>
      <c r="H13" s="21">
        <v>73</v>
      </c>
      <c r="I13" s="19">
        <f>ROUND(IMDIV(B13,H13),2)</f>
        <v>0.25</v>
      </c>
      <c r="J13" s="19">
        <f>ROUND(IMDIV(D13,H13),2)</f>
        <v>0.73</v>
      </c>
      <c r="K13" s="19">
        <f>ROUND(IMDIV(E13,H13),2)</f>
        <v>1.52</v>
      </c>
      <c r="L13" s="19">
        <f>ROUND(IMDIV(F13,H13),2)</f>
        <v>0.22</v>
      </c>
      <c r="M13" s="19">
        <f>ROUND(IMDIV(B13,D13),2)</f>
        <v>0.34</v>
      </c>
      <c r="N13" s="19">
        <f>ROUND(IMDIV(C13,B13),4)*100</f>
        <v>50</v>
      </c>
      <c r="O13" s="19">
        <f>ROUND(IMDIV(G13,H13),2)</f>
        <v>32.6</v>
      </c>
      <c r="P13" s="14" t="s">
        <v>33</v>
      </c>
      <c r="Q13" s="13" t="s">
        <v>28</v>
      </c>
    </row>
    <row r="14" spans="1:17" ht="15" customHeight="1" x14ac:dyDescent="0.25">
      <c r="A14" s="23" t="s">
        <v>25</v>
      </c>
      <c r="B14" s="24">
        <v>17</v>
      </c>
      <c r="C14" s="24">
        <v>4</v>
      </c>
      <c r="D14" s="24">
        <v>57</v>
      </c>
      <c r="E14" s="24">
        <v>110</v>
      </c>
      <c r="F14" s="24">
        <v>22</v>
      </c>
      <c r="G14" s="24">
        <v>3449</v>
      </c>
      <c r="H14" s="24">
        <v>66</v>
      </c>
      <c r="I14" s="4">
        <f>ROUND(IMDIV(B14,H14),2)</f>
        <v>0.26</v>
      </c>
      <c r="J14" s="4">
        <f>ROUND(IMDIV(D14,H14),2)</f>
        <v>0.86</v>
      </c>
      <c r="K14" s="4">
        <f>ROUND(IMDIV(E14,H14),2)</f>
        <v>1.67</v>
      </c>
      <c r="L14" s="4">
        <f>ROUND(IMDIV(F14,H14),2)</f>
        <v>0.33</v>
      </c>
      <c r="M14" s="4">
        <f>ROUND(IMDIV(B14,D14),2)</f>
        <v>0.3</v>
      </c>
      <c r="N14" s="4">
        <f>ROUND(IMDIV(C14,B14),4)*100</f>
        <v>23.53</v>
      </c>
      <c r="O14" s="4">
        <f>ROUND(IMDIV(G14,H14),2)</f>
        <v>52.26</v>
      </c>
      <c r="P14" s="23" t="s">
        <v>32</v>
      </c>
      <c r="Q14" s="23" t="s">
        <v>28</v>
      </c>
    </row>
    <row r="15" spans="1:17" ht="15" customHeight="1" x14ac:dyDescent="0.25">
      <c r="A15" s="23" t="s">
        <v>29</v>
      </c>
      <c r="B15" s="24">
        <v>23</v>
      </c>
      <c r="C15" s="24">
        <v>7</v>
      </c>
      <c r="D15" s="24">
        <v>57</v>
      </c>
      <c r="E15" s="23">
        <v>8</v>
      </c>
      <c r="F15" s="24">
        <v>2</v>
      </c>
      <c r="G15" s="24">
        <v>2902</v>
      </c>
      <c r="H15" s="24">
        <v>66</v>
      </c>
      <c r="I15" s="4">
        <f>ROUND(IMDIV(B15,H15),2)</f>
        <v>0.35</v>
      </c>
      <c r="J15" s="4">
        <f>ROUND(IMDIV(D15,H15),2)</f>
        <v>0.86</v>
      </c>
      <c r="K15" s="4">
        <f>ROUND(IMDIV(E15,H15),2)</f>
        <v>0.12</v>
      </c>
      <c r="L15" s="4">
        <f>ROUND(IMDIV(F15,H15),2)</f>
        <v>0.03</v>
      </c>
      <c r="M15" s="4">
        <f>ROUND(IMDIV(B15,D15),2)</f>
        <v>0.4</v>
      </c>
      <c r="N15" s="4">
        <f>ROUND(IMDIV(C15,B15),4)*100</f>
        <v>30.43</v>
      </c>
      <c r="O15" s="4">
        <f>ROUND(IMDIV(G15,H15),2)</f>
        <v>43.97</v>
      </c>
      <c r="P15" s="23" t="s">
        <v>32</v>
      </c>
      <c r="Q15" s="23" t="s">
        <v>28</v>
      </c>
    </row>
  </sheetData>
  <sortState xmlns:xlrd2="http://schemas.microsoft.com/office/spreadsheetml/2017/richdata2" ref="A2:Q15">
    <sortCondition sortBy="cellColor" ref="P7:P15" dxfId="0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2025-11-04T19:36:50Z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