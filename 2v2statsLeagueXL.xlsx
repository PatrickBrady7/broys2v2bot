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6123615\Documents\pyroject\"/>
    </mc:Choice>
  </mc:AlternateContent>
  <xr:revisionPtr revIDLastSave="0" documentId="13_ncr:1_{2C32F608-865B-4327-AC6E-55BDB30228FE}" xr6:coauthVersionLast="47" xr6:coauthVersionMax="47" xr10:uidLastSave="{00000000-0000-0000-0000-000000000000}"/>
  <bookViews>
    <workbookView xWindow="39180" yWindow="4935" windowWidth="27675" windowHeight="14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A5gbH8mBz1rbL8v+sN69zceColvw6bFZvM/HGD6XGQ=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S15" i="1"/>
  <c r="S5" i="1"/>
  <c r="S4" i="1"/>
  <c r="S6" i="1"/>
  <c r="S7" i="1"/>
  <c r="S2" i="1"/>
  <c r="S3" i="1"/>
  <c r="S9" i="1"/>
  <c r="S8" i="1"/>
  <c r="S12" i="1"/>
  <c r="S13" i="1"/>
  <c r="S10" i="1"/>
  <c r="S11" i="1"/>
  <c r="S14" i="1"/>
  <c r="R15" i="1"/>
  <c r="R5" i="1"/>
  <c r="R4" i="1"/>
  <c r="R6" i="1"/>
  <c r="R7" i="1"/>
  <c r="R2" i="1"/>
  <c r="R3" i="1"/>
  <c r="R9" i="1"/>
  <c r="R8" i="1"/>
  <c r="R12" i="1"/>
  <c r="R13" i="1"/>
  <c r="R10" i="1"/>
  <c r="R11" i="1"/>
  <c r="R14" i="1"/>
  <c r="Q15" i="1"/>
  <c r="Q5" i="1"/>
  <c r="Q4" i="1"/>
  <c r="Q6" i="1"/>
  <c r="Q7" i="1"/>
  <c r="Q2" i="1"/>
  <c r="Q3" i="1"/>
  <c r="Q9" i="1"/>
  <c r="Q8" i="1"/>
  <c r="Q12" i="1"/>
  <c r="Q13" i="1"/>
  <c r="Q10" i="1"/>
  <c r="Q11" i="1"/>
  <c r="Q14" i="1"/>
  <c r="P15" i="1"/>
  <c r="P5" i="1"/>
  <c r="P4" i="1"/>
  <c r="P6" i="1"/>
  <c r="P7" i="1"/>
  <c r="P2" i="1"/>
  <c r="P3" i="1"/>
  <c r="P9" i="1"/>
  <c r="P8" i="1"/>
  <c r="P12" i="1"/>
  <c r="P13" i="1"/>
  <c r="P10" i="1"/>
  <c r="P11" i="1"/>
  <c r="P14" i="1"/>
  <c r="O15" i="1"/>
  <c r="O5" i="1"/>
  <c r="O4" i="1"/>
  <c r="O6" i="1"/>
  <c r="O7" i="1"/>
  <c r="O2" i="1"/>
  <c r="O3" i="1"/>
  <c r="O9" i="1"/>
  <c r="O8" i="1"/>
  <c r="O12" i="1"/>
  <c r="O13" i="1"/>
  <c r="O10" i="1"/>
  <c r="O11" i="1"/>
  <c r="O14" i="1"/>
  <c r="N15" i="1"/>
  <c r="N5" i="1"/>
  <c r="N4" i="1"/>
  <c r="N6" i="1"/>
  <c r="N7" i="1"/>
  <c r="N2" i="1"/>
  <c r="N3" i="1"/>
  <c r="N9" i="1"/>
  <c r="N8" i="1"/>
  <c r="N12" i="1"/>
  <c r="N13" i="1"/>
  <c r="N10" i="1"/>
  <c r="N11" i="1"/>
  <c r="N14" i="1"/>
  <c r="K15" i="1"/>
  <c r="K5" i="1"/>
  <c r="K4" i="1"/>
  <c r="K6" i="1"/>
  <c r="K7" i="1"/>
  <c r="K2" i="1"/>
  <c r="K3" i="1"/>
  <c r="K9" i="1"/>
  <c r="K8" i="1"/>
  <c r="K12" i="1"/>
  <c r="K13" i="1"/>
  <c r="K10" i="1"/>
  <c r="K11" i="1"/>
  <c r="K14" i="1"/>
</calcChain>
</file>

<file path=xl/sharedStrings.xml><?xml version="1.0" encoding="utf-8"?>
<sst xmlns="http://schemas.openxmlformats.org/spreadsheetml/2006/main" count="64" uniqueCount="46">
  <si>
    <t>player</t>
  </si>
  <si>
    <t>K</t>
  </si>
  <si>
    <t>HS</t>
  </si>
  <si>
    <t>D</t>
  </si>
  <si>
    <t>UD</t>
  </si>
  <si>
    <t>EF</t>
  </si>
  <si>
    <t>DAM</t>
  </si>
  <si>
    <t>R</t>
  </si>
  <si>
    <t>KPR</t>
  </si>
  <si>
    <t>DPR</t>
  </si>
  <si>
    <t>UDR</t>
  </si>
  <si>
    <t>EFR</t>
  </si>
  <si>
    <t>KD</t>
  </si>
  <si>
    <t>HS%</t>
  </si>
  <si>
    <t>ADR</t>
  </si>
  <si>
    <t>Placement</t>
  </si>
  <si>
    <t>Awards</t>
  </si>
  <si>
    <t>Dom</t>
  </si>
  <si>
    <t>Dank</t>
  </si>
  <si>
    <t>Hendo</t>
  </si>
  <si>
    <t>Andy</t>
  </si>
  <si>
    <t>Swny</t>
  </si>
  <si>
    <t>Ethan</t>
  </si>
  <si>
    <t>Joey</t>
  </si>
  <si>
    <t>Dmah</t>
  </si>
  <si>
    <t>Caffey</t>
  </si>
  <si>
    <t>Danzo</t>
  </si>
  <si>
    <t>Steve</t>
  </si>
  <si>
    <t>none</t>
  </si>
  <si>
    <t>WillP</t>
  </si>
  <si>
    <t>Jsad</t>
  </si>
  <si>
    <t>Nate</t>
  </si>
  <si>
    <t>7th</t>
  </si>
  <si>
    <t>6th</t>
  </si>
  <si>
    <t>5th</t>
  </si>
  <si>
    <t>EVP</t>
  </si>
  <si>
    <t>3rd</t>
  </si>
  <si>
    <t>4th</t>
  </si>
  <si>
    <t>1st</t>
  </si>
  <si>
    <t>2nd</t>
  </si>
  <si>
    <t>MVP</t>
  </si>
  <si>
    <t>MK</t>
  </si>
  <si>
    <t>1v2PR</t>
  </si>
  <si>
    <t>1v2</t>
  </si>
  <si>
    <t>MKPR</t>
  </si>
  <si>
    <t>PadRating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</si>
</sst>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rgb="FFBF4F14"/>
      </patternFill>
    </fill>
    <fill>
      <patternFill patternType="solid">
        <fgColor rgb="FF0070C0"/>
        <bgColor rgb="FFBF4F14"/>
      </patternFill>
    </fill>
    <fill>
      <patternFill patternType="solid">
        <fgColor theme="8"/>
        <bgColor theme="7"/>
      </patternFill>
    </fill>
    <fill>
      <patternFill patternType="solid">
        <fgColor rgb="FFFFC000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rgb="FFFF0000"/>
      </patternFill>
    </fill>
    <fill>
      <patternFill patternType="solid">
        <fgColor rgb="FF0070C0"/>
        <bgColor rgb="FFFF0000"/>
      </patternFill>
    </fill>
    <fill>
      <patternFill patternType="solid">
        <fgColor theme="8"/>
        <bgColor rgb="FFFF0000"/>
      </patternFill>
    </fill>
    <fill>
      <patternFill patternType="solid">
        <fgColor theme="8" tint="0.79998168889431442"/>
        <bgColor rgb="FFFF0000"/>
      </patternFill>
    </fill>
    <fill>
      <patternFill patternType="solid">
        <fgColor theme="7" tint="0.39997558519241921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16" fontId="3" fillId="3" borderId="1" xfId="0" applyNumberFormat="1" applyFont="1" applyFill="1" applyBorder="1"/>
    <xf numFmtId="0" fontId="1" fillId="6" borderId="0" xfId="0" applyFont="1" applyFill="1"/>
    <xf numFmtId="0" fontId="2" fillId="6" borderId="0" xfId="0" applyFont="1" applyFill="1" applyAlignment="1"/>
    <xf numFmtId="16" fontId="4" fillId="3" borderId="1" xfId="0" applyNumberFormat="1" applyFont="1" applyFill="1" applyBorder="1"/>
    <xf numFmtId="0" fontId="3" fillId="8" borderId="1" xfId="0" applyFont="1" applyFill="1" applyBorder="1"/>
    <xf numFmtId="0" fontId="4" fillId="8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/>
    <xf numFmtId="0" fontId="3" fillId="9" borderId="0" xfId="0" applyFont="1" applyFill="1" applyBorder="1"/>
    <xf numFmtId="0" fontId="4" fillId="9" borderId="0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2" fillId="9" borderId="0" xfId="0" applyFont="1" applyFill="1" applyBorder="1" applyAlignment="1"/>
    <xf numFmtId="0" fontId="3" fillId="2" borderId="1" xfId="0" applyFont="1" applyFill="1" applyBorder="1"/>
    <xf numFmtId="0" fontId="3" fillId="5" borderId="0" xfId="0" applyFont="1" applyFill="1" applyBorder="1"/>
    <xf numFmtId="0" fontId="2" fillId="5" borderId="0" xfId="0" applyFont="1" applyFill="1" applyBorder="1" applyAlignment="1"/>
    <xf numFmtId="0" fontId="3" fillId="4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2" fillId="9" borderId="1" xfId="0" applyFont="1" applyFill="1" applyBorder="1" applyAlignment="1"/>
    <xf numFmtId="0" fontId="2" fillId="5" borderId="1" xfId="0" applyFont="1" applyFill="1" applyBorder="1" applyAlignment="1"/>
    <xf numFmtId="0" fontId="0" fillId="6" borderId="0" xfId="0" applyFill="1" applyAlignment="1"/>
    <xf numFmtId="0" fontId="3" fillId="4" borderId="1" xfId="0" applyFont="1" applyFill="1" applyBorder="1" applyAlignment="1"/>
    <xf numFmtId="0" fontId="3" fillId="7" borderId="1" xfId="0" applyFont="1" applyFill="1" applyBorder="1" applyAlignment="1"/>
    <xf numFmtId="0" fontId="3" fillId="3" borderId="1" xfId="0" applyFont="1" applyFill="1" applyBorder="1" applyAlignment="1"/>
    <xf numFmtId="0" fontId="3" fillId="8" borderId="1" xfId="0" applyFont="1" applyFill="1" applyBorder="1" applyAlignment="1"/>
    <xf numFmtId="0" fontId="3" fillId="2" borderId="1" xfId="0" applyFont="1" applyFill="1" applyBorder="1" applyAlignment="1"/>
    <xf numFmtId="0" fontId="0" fillId="0" borderId="0" xfId="0" applyAlignment="1"/>
    <xf numFmtId="2" fontId="3" fillId="12" borderId="1" xfId="0" applyNumberFormat="1" applyFont="1" applyFill="1" applyBorder="1" applyAlignment="1"/>
    <xf numFmtId="2" fontId="3" fillId="10" borderId="1" xfId="0" applyNumberFormat="1" applyFont="1" applyFill="1" applyBorder="1" applyAlignment="1"/>
    <xf numFmtId="2" fontId="3" fillId="11" borderId="1" xfId="0" applyNumberFormat="1" applyFont="1" applyFill="1" applyBorder="1" applyAlignment="1"/>
    <xf numFmtId="2" fontId="3" fillId="13" borderId="1" xfId="0" applyNumberFormat="1" applyFont="1" applyFill="1" applyBorder="1" applyAlignment="1"/>
    <xf numFmtId="2" fontId="3" fillId="15" borderId="1" xfId="0" applyNumberFormat="1" applyFont="1" applyFill="1" applyBorder="1" applyAlignment="1"/>
    <xf numFmtId="2" fontId="3" fillId="14" borderId="1" xfId="0" applyNumberFormat="1" applyFont="1" applyFill="1" applyBorder="1" applyAlignment="1"/>
    <xf numFmtId="2" fontId="3" fillId="5" borderId="1" xfId="0" applyNumberFormat="1" applyFont="1" applyFill="1" applyBorder="1" applyAlignment="1"/>
    <xf numFmtId="0" fontId="0" fillId="0" borderId="0" xfId="0"/>
    <xf numFmtId="2" fontId="4" fillId="1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514350</xdr:colOff>
      <xdr:row>15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H27" sqref="H27"/>
    </sheetView>
  </sheetViews>
  <sheetFormatPr defaultColWidth="12.5703125" defaultRowHeight="15" customHeight="1" x14ac:dyDescent="0.25"/>
  <cols>
    <col min="1" max="16" width="8.5703125" customWidth="1"/>
    <col min="17" max="17" width="10.28515625" customWidth="1"/>
    <col min="18" max="27" width="8.5703125" customWidth="1"/>
  </cols>
  <sheetData>
    <row r="1" spans="1:22" x14ac:dyDescent="0.25">
      <c r="A1" s="6" t="s">
        <v>0</v>
      </c>
      <c r="B1" s="6" t="s">
        <v>1</v>
      </c>
      <c r="C1" s="6" t="s">
        <v>2</v>
      </c>
      <c r="D1" s="29" t="s">
        <v>41</v>
      </c>
      <c r="E1" s="29" t="s">
        <v>43</v>
      </c>
      <c r="F1" s="6" t="s">
        <v>3</v>
      </c>
      <c r="G1" s="6" t="s">
        <v>4</v>
      </c>
      <c r="H1" s="7" t="s">
        <v>5</v>
      </c>
      <c r="I1" s="6" t="s">
        <v>6</v>
      </c>
      <c r="J1" s="6" t="s">
        <v>7</v>
      </c>
      <c r="K1" s="1" t="s">
        <v>8</v>
      </c>
      <c r="L1" s="35" t="s">
        <v>42</v>
      </c>
      <c r="M1" s="35" t="s">
        <v>44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6" t="s">
        <v>15</v>
      </c>
      <c r="U1" s="6" t="s">
        <v>16</v>
      </c>
      <c r="V1" s="43" t="s">
        <v>45</v>
      </c>
    </row>
    <row r="2" spans="1:22" x14ac:dyDescent="0.25">
      <c r="A2" s="3" t="s">
        <v>21</v>
      </c>
      <c r="B2" s="3">
        <v>123</v>
      </c>
      <c r="C2" s="3">
        <v>62</v>
      </c>
      <c r="D2" s="30">
        <v>32</v>
      </c>
      <c r="E2" s="30">
        <v>12</v>
      </c>
      <c r="F2" s="3">
        <v>79</v>
      </c>
      <c r="G2" s="3">
        <v>440</v>
      </c>
      <c r="H2" s="3">
        <v>44</v>
      </c>
      <c r="I2" s="3">
        <v>13031</v>
      </c>
      <c r="J2" s="3">
        <v>162</v>
      </c>
      <c r="K2" s="17">
        <f t="shared" ref="K2:K15" si="0">ROUND(IMDIV(B2,J2),2)</f>
        <v>0.76</v>
      </c>
      <c r="L2" s="36">
        <f>E2/J2</f>
        <v>7.407407407407407E-2</v>
      </c>
      <c r="M2" s="36">
        <f>D2/J2</f>
        <v>0.19753086419753085</v>
      </c>
      <c r="N2" s="17">
        <f t="shared" ref="N2:N15" si="1">ROUND(IMDIV(F2,J2),2)</f>
        <v>0.49</v>
      </c>
      <c r="O2" s="17">
        <f t="shared" ref="O2:O15" si="2">ROUND(IMDIV(G2,J2),2)</f>
        <v>2.72</v>
      </c>
      <c r="P2" s="17">
        <f t="shared" ref="P2:P15" si="3">ROUND(IMDIV(H2,J2),2)</f>
        <v>0.27</v>
      </c>
      <c r="Q2" s="17">
        <f t="shared" ref="Q2:Q15" si="4">ROUND(IMDIV(B2,F2),2)</f>
        <v>1.56</v>
      </c>
      <c r="R2" s="17">
        <f t="shared" ref="R2:R15" si="5">ROUND(IMDIV(C2,B2),4)*100</f>
        <v>50.41</v>
      </c>
      <c r="S2" s="17">
        <f t="shared" ref="S2:S15" si="6">ROUND(IMDIV(I2,J2),2)</f>
        <v>80.44</v>
      </c>
      <c r="T2" s="3" t="s">
        <v>38</v>
      </c>
      <c r="U2" s="25" t="s">
        <v>40</v>
      </c>
      <c r="V2" s="44">
        <f>((K2/2)+(M2/4)+(L2/5)-(N2)+(S2/215)+(P2/20))+1</f>
        <v>1.3418370657479186</v>
      </c>
    </row>
    <row r="3" spans="1:22" x14ac:dyDescent="0.25">
      <c r="A3" s="3" t="s">
        <v>22</v>
      </c>
      <c r="B3" s="3">
        <v>100</v>
      </c>
      <c r="C3" s="3">
        <v>42</v>
      </c>
      <c r="D3" s="30">
        <v>22</v>
      </c>
      <c r="E3" s="30">
        <v>9</v>
      </c>
      <c r="F3" s="3">
        <v>97</v>
      </c>
      <c r="G3" s="3">
        <v>409</v>
      </c>
      <c r="H3" s="3">
        <v>35</v>
      </c>
      <c r="I3" s="3">
        <v>12080</v>
      </c>
      <c r="J3" s="3">
        <v>162</v>
      </c>
      <c r="K3" s="17">
        <f t="shared" si="0"/>
        <v>0.62</v>
      </c>
      <c r="L3" s="36">
        <f t="shared" ref="L3:L15" si="7">E3/J3</f>
        <v>5.5555555555555552E-2</v>
      </c>
      <c r="M3" s="36">
        <f t="shared" ref="M3:M15" si="8">D3/J3</f>
        <v>0.13580246913580246</v>
      </c>
      <c r="N3" s="17">
        <f t="shared" si="1"/>
        <v>0.6</v>
      </c>
      <c r="O3" s="17">
        <f t="shared" si="2"/>
        <v>2.52</v>
      </c>
      <c r="P3" s="17">
        <f t="shared" si="3"/>
        <v>0.22</v>
      </c>
      <c r="Q3" s="17">
        <f t="shared" si="4"/>
        <v>1.03</v>
      </c>
      <c r="R3" s="17">
        <f t="shared" si="5"/>
        <v>42</v>
      </c>
      <c r="S3" s="17">
        <f t="shared" si="6"/>
        <v>74.569999999999993</v>
      </c>
      <c r="T3" s="3" t="s">
        <v>38</v>
      </c>
      <c r="U3" s="25" t="s">
        <v>35</v>
      </c>
      <c r="V3" s="44">
        <f t="shared" ref="V3:V15" si="9">((K3/2)+(M3/4)+(L3/5)-(N3)+(S3/215)+(P3/20))+1</f>
        <v>1.1128989376973872</v>
      </c>
    </row>
    <row r="4" spans="1:22" x14ac:dyDescent="0.25">
      <c r="A4" s="11" t="s">
        <v>31</v>
      </c>
      <c r="B4" s="11">
        <v>100</v>
      </c>
      <c r="C4" s="11">
        <v>61</v>
      </c>
      <c r="D4" s="31">
        <v>26</v>
      </c>
      <c r="E4" s="31">
        <v>13</v>
      </c>
      <c r="F4" s="11">
        <v>86</v>
      </c>
      <c r="G4" s="11">
        <v>512</v>
      </c>
      <c r="H4" s="11">
        <v>25</v>
      </c>
      <c r="I4" s="11">
        <v>11521</v>
      </c>
      <c r="J4" s="11">
        <v>146</v>
      </c>
      <c r="K4" s="15">
        <f t="shared" si="0"/>
        <v>0.68</v>
      </c>
      <c r="L4" s="37">
        <f t="shared" si="7"/>
        <v>8.9041095890410954E-2</v>
      </c>
      <c r="M4" s="37">
        <f t="shared" si="8"/>
        <v>0.17808219178082191</v>
      </c>
      <c r="N4" s="15">
        <f t="shared" si="1"/>
        <v>0.59</v>
      </c>
      <c r="O4" s="15">
        <f t="shared" si="2"/>
        <v>3.51</v>
      </c>
      <c r="P4" s="15">
        <f t="shared" si="3"/>
        <v>0.17</v>
      </c>
      <c r="Q4" s="15">
        <f t="shared" si="4"/>
        <v>1.1599999999999999</v>
      </c>
      <c r="R4" s="15">
        <f t="shared" si="5"/>
        <v>61</v>
      </c>
      <c r="S4" s="15">
        <f t="shared" si="6"/>
        <v>78.91</v>
      </c>
      <c r="T4" s="12" t="s">
        <v>39</v>
      </c>
      <c r="U4" s="26" t="s">
        <v>35</v>
      </c>
      <c r="V4" s="44">
        <f t="shared" si="9"/>
        <v>1.1878520229372411</v>
      </c>
    </row>
    <row r="5" spans="1:22" x14ac:dyDescent="0.25">
      <c r="A5" s="11" t="s">
        <v>30</v>
      </c>
      <c r="B5" s="11">
        <v>97</v>
      </c>
      <c r="C5" s="11">
        <v>42</v>
      </c>
      <c r="D5" s="31">
        <v>29</v>
      </c>
      <c r="E5" s="31">
        <v>11</v>
      </c>
      <c r="F5" s="11">
        <v>84</v>
      </c>
      <c r="G5" s="11">
        <v>431</v>
      </c>
      <c r="H5" s="11">
        <v>26</v>
      </c>
      <c r="I5" s="11">
        <v>11126</v>
      </c>
      <c r="J5" s="11">
        <v>146</v>
      </c>
      <c r="K5" s="15">
        <f t="shared" si="0"/>
        <v>0.66</v>
      </c>
      <c r="L5" s="37">
        <f t="shared" si="7"/>
        <v>7.5342465753424653E-2</v>
      </c>
      <c r="M5" s="37">
        <f t="shared" si="8"/>
        <v>0.19863013698630136</v>
      </c>
      <c r="N5" s="15">
        <f t="shared" si="1"/>
        <v>0.57999999999999996</v>
      </c>
      <c r="O5" s="15">
        <f t="shared" si="2"/>
        <v>2.95</v>
      </c>
      <c r="P5" s="15">
        <f t="shared" si="3"/>
        <v>0.18</v>
      </c>
      <c r="Q5" s="15">
        <f t="shared" si="4"/>
        <v>1.1499999999999999</v>
      </c>
      <c r="R5" s="15">
        <f t="shared" si="5"/>
        <v>43.3</v>
      </c>
      <c r="S5" s="15">
        <f t="shared" si="6"/>
        <v>76.209999999999994</v>
      </c>
      <c r="T5" s="12" t="s">
        <v>39</v>
      </c>
      <c r="U5" s="26" t="s">
        <v>35</v>
      </c>
      <c r="V5" s="44">
        <f t="shared" si="9"/>
        <v>1.1781911436763299</v>
      </c>
    </row>
    <row r="6" spans="1:22" x14ac:dyDescent="0.25">
      <c r="A6" s="2" t="s">
        <v>26</v>
      </c>
      <c r="B6" s="2">
        <v>148</v>
      </c>
      <c r="C6" s="2">
        <v>57</v>
      </c>
      <c r="D6" s="32">
        <v>39</v>
      </c>
      <c r="E6" s="32">
        <v>17</v>
      </c>
      <c r="F6" s="2">
        <v>109</v>
      </c>
      <c r="G6" s="2">
        <v>530</v>
      </c>
      <c r="H6" s="2">
        <v>12</v>
      </c>
      <c r="I6" s="2">
        <v>16623</v>
      </c>
      <c r="J6" s="2">
        <v>195</v>
      </c>
      <c r="K6" s="16">
        <f t="shared" si="0"/>
        <v>0.76</v>
      </c>
      <c r="L6" s="38">
        <f t="shared" si="7"/>
        <v>8.7179487179487175E-2</v>
      </c>
      <c r="M6" s="38">
        <f t="shared" si="8"/>
        <v>0.2</v>
      </c>
      <c r="N6" s="16">
        <f t="shared" si="1"/>
        <v>0.56000000000000005</v>
      </c>
      <c r="O6" s="16">
        <f t="shared" si="2"/>
        <v>2.72</v>
      </c>
      <c r="P6" s="16">
        <f t="shared" si="3"/>
        <v>0.06</v>
      </c>
      <c r="Q6" s="16">
        <f t="shared" si="4"/>
        <v>1.36</v>
      </c>
      <c r="R6" s="16">
        <f t="shared" si="5"/>
        <v>38.51</v>
      </c>
      <c r="S6" s="16">
        <f t="shared" si="6"/>
        <v>85.25</v>
      </c>
      <c r="T6" s="5" t="s">
        <v>36</v>
      </c>
      <c r="U6" s="2" t="s">
        <v>35</v>
      </c>
      <c r="V6" s="44">
        <f t="shared" si="9"/>
        <v>1.2869475253428742</v>
      </c>
    </row>
    <row r="7" spans="1:22" x14ac:dyDescent="0.25">
      <c r="A7" s="2" t="s">
        <v>19</v>
      </c>
      <c r="B7" s="2">
        <v>102</v>
      </c>
      <c r="C7" s="2">
        <v>48</v>
      </c>
      <c r="D7" s="32">
        <v>24</v>
      </c>
      <c r="E7" s="32">
        <v>9</v>
      </c>
      <c r="F7" s="2">
        <v>115</v>
      </c>
      <c r="G7" s="2">
        <v>228</v>
      </c>
      <c r="H7" s="2">
        <v>25</v>
      </c>
      <c r="I7" s="2">
        <v>12184</v>
      </c>
      <c r="J7" s="2">
        <v>195</v>
      </c>
      <c r="K7" s="16">
        <f t="shared" si="0"/>
        <v>0.52</v>
      </c>
      <c r="L7" s="38">
        <f t="shared" si="7"/>
        <v>4.6153846153846156E-2</v>
      </c>
      <c r="M7" s="38">
        <f t="shared" si="8"/>
        <v>0.12307692307692308</v>
      </c>
      <c r="N7" s="16">
        <f t="shared" si="1"/>
        <v>0.59</v>
      </c>
      <c r="O7" s="16">
        <f t="shared" si="2"/>
        <v>1.17</v>
      </c>
      <c r="P7" s="16">
        <f t="shared" si="3"/>
        <v>0.13</v>
      </c>
      <c r="Q7" s="16">
        <f t="shared" si="4"/>
        <v>0.89</v>
      </c>
      <c r="R7" s="16">
        <f t="shared" si="5"/>
        <v>47.06</v>
      </c>
      <c r="S7" s="16">
        <f t="shared" si="6"/>
        <v>62.48</v>
      </c>
      <c r="T7" s="8" t="s">
        <v>36</v>
      </c>
      <c r="U7" s="2" t="s">
        <v>28</v>
      </c>
      <c r="V7" s="44">
        <f t="shared" si="9"/>
        <v>1.0071046511627906</v>
      </c>
    </row>
    <row r="8" spans="1:22" x14ac:dyDescent="0.25">
      <c r="A8" s="9" t="s">
        <v>27</v>
      </c>
      <c r="B8" s="9">
        <v>138</v>
      </c>
      <c r="C8" s="9">
        <v>77</v>
      </c>
      <c r="D8" s="33">
        <v>34</v>
      </c>
      <c r="E8" s="33">
        <v>8</v>
      </c>
      <c r="F8" s="9">
        <v>106</v>
      </c>
      <c r="G8" s="9">
        <v>1379</v>
      </c>
      <c r="H8" s="9">
        <v>26</v>
      </c>
      <c r="I8" s="9">
        <v>15561</v>
      </c>
      <c r="J8" s="9">
        <v>184</v>
      </c>
      <c r="K8" s="18">
        <f t="shared" si="0"/>
        <v>0.75</v>
      </c>
      <c r="L8" s="39">
        <f t="shared" si="7"/>
        <v>4.3478260869565216E-2</v>
      </c>
      <c r="M8" s="39">
        <f t="shared" si="8"/>
        <v>0.18478260869565216</v>
      </c>
      <c r="N8" s="18">
        <f t="shared" si="1"/>
        <v>0.57999999999999996</v>
      </c>
      <c r="O8" s="18">
        <f t="shared" si="2"/>
        <v>7.49</v>
      </c>
      <c r="P8" s="18">
        <f t="shared" si="3"/>
        <v>0.14000000000000001</v>
      </c>
      <c r="Q8" s="18">
        <f t="shared" si="4"/>
        <v>1.3</v>
      </c>
      <c r="R8" s="18">
        <f t="shared" si="5"/>
        <v>55.800000000000004</v>
      </c>
      <c r="S8" s="18">
        <f t="shared" si="6"/>
        <v>84.57</v>
      </c>
      <c r="T8" s="10" t="s">
        <v>37</v>
      </c>
      <c r="U8" s="9" t="s">
        <v>35</v>
      </c>
      <c r="V8" s="44">
        <f t="shared" si="9"/>
        <v>1.2502401415571285</v>
      </c>
    </row>
    <row r="9" spans="1:22" x14ac:dyDescent="0.25">
      <c r="A9" s="9" t="s">
        <v>20</v>
      </c>
      <c r="B9" s="9">
        <v>93</v>
      </c>
      <c r="C9" s="9">
        <v>48</v>
      </c>
      <c r="D9" s="33">
        <v>14</v>
      </c>
      <c r="E9" s="33">
        <v>7</v>
      </c>
      <c r="F9" s="9">
        <v>117</v>
      </c>
      <c r="G9" s="9">
        <v>360</v>
      </c>
      <c r="H9" s="9">
        <v>31</v>
      </c>
      <c r="I9" s="9">
        <v>10654</v>
      </c>
      <c r="J9" s="9">
        <v>184</v>
      </c>
      <c r="K9" s="18">
        <f t="shared" si="0"/>
        <v>0.51</v>
      </c>
      <c r="L9" s="39">
        <f t="shared" si="7"/>
        <v>3.8043478260869568E-2</v>
      </c>
      <c r="M9" s="39">
        <f t="shared" si="8"/>
        <v>7.6086956521739135E-2</v>
      </c>
      <c r="N9" s="18">
        <f t="shared" si="1"/>
        <v>0.64</v>
      </c>
      <c r="O9" s="18">
        <f t="shared" si="2"/>
        <v>1.96</v>
      </c>
      <c r="P9" s="18">
        <f t="shared" si="3"/>
        <v>0.17</v>
      </c>
      <c r="Q9" s="18">
        <f t="shared" si="4"/>
        <v>0.79</v>
      </c>
      <c r="R9" s="18">
        <f t="shared" si="5"/>
        <v>51.61</v>
      </c>
      <c r="S9" s="18">
        <f t="shared" si="6"/>
        <v>57.9</v>
      </c>
      <c r="T9" s="10" t="s">
        <v>37</v>
      </c>
      <c r="U9" s="9" t="s">
        <v>28</v>
      </c>
      <c r="V9" s="44">
        <f t="shared" si="9"/>
        <v>0.91943276036400401</v>
      </c>
    </row>
    <row r="10" spans="1:22" x14ac:dyDescent="0.25">
      <c r="A10" s="22" t="s">
        <v>17</v>
      </c>
      <c r="B10" s="22">
        <v>57</v>
      </c>
      <c r="C10" s="22">
        <v>27</v>
      </c>
      <c r="D10" s="34">
        <v>12</v>
      </c>
      <c r="E10" s="34">
        <v>6</v>
      </c>
      <c r="F10" s="22">
        <v>47</v>
      </c>
      <c r="G10" s="22">
        <v>159</v>
      </c>
      <c r="H10" s="22">
        <v>10</v>
      </c>
      <c r="I10" s="22">
        <v>6268</v>
      </c>
      <c r="J10" s="22">
        <v>78</v>
      </c>
      <c r="K10" s="20">
        <f t="shared" si="0"/>
        <v>0.73</v>
      </c>
      <c r="L10" s="40">
        <f t="shared" si="7"/>
        <v>7.6923076923076927E-2</v>
      </c>
      <c r="M10" s="40">
        <f t="shared" si="8"/>
        <v>0.15384615384615385</v>
      </c>
      <c r="N10" s="20">
        <f t="shared" si="1"/>
        <v>0.6</v>
      </c>
      <c r="O10" s="20">
        <f t="shared" si="2"/>
        <v>2.04</v>
      </c>
      <c r="P10" s="20">
        <f t="shared" si="3"/>
        <v>0.13</v>
      </c>
      <c r="Q10" s="20">
        <f t="shared" si="4"/>
        <v>1.21</v>
      </c>
      <c r="R10" s="20">
        <f t="shared" si="5"/>
        <v>47.370000000000005</v>
      </c>
      <c r="S10" s="20">
        <f t="shared" si="6"/>
        <v>80.36</v>
      </c>
      <c r="T10" s="22" t="s">
        <v>34</v>
      </c>
      <c r="U10" s="22" t="s">
        <v>28</v>
      </c>
      <c r="V10" s="44">
        <f t="shared" si="9"/>
        <v>1.199113595706619</v>
      </c>
    </row>
    <row r="11" spans="1:22" x14ac:dyDescent="0.25">
      <c r="A11" s="22" t="s">
        <v>18</v>
      </c>
      <c r="B11" s="22">
        <v>43</v>
      </c>
      <c r="C11" s="22">
        <v>20</v>
      </c>
      <c r="D11" s="34">
        <v>7</v>
      </c>
      <c r="E11" s="34">
        <v>5</v>
      </c>
      <c r="F11" s="22">
        <v>51</v>
      </c>
      <c r="G11" s="22">
        <v>115</v>
      </c>
      <c r="H11" s="22">
        <v>15</v>
      </c>
      <c r="I11" s="22">
        <v>4982</v>
      </c>
      <c r="J11" s="22">
        <v>78</v>
      </c>
      <c r="K11" s="20">
        <f t="shared" si="0"/>
        <v>0.55000000000000004</v>
      </c>
      <c r="L11" s="40">
        <f t="shared" si="7"/>
        <v>6.4102564102564097E-2</v>
      </c>
      <c r="M11" s="40">
        <f t="shared" si="8"/>
        <v>8.9743589743589744E-2</v>
      </c>
      <c r="N11" s="20">
        <f t="shared" si="1"/>
        <v>0.65</v>
      </c>
      <c r="O11" s="20">
        <f t="shared" si="2"/>
        <v>1.47</v>
      </c>
      <c r="P11" s="20">
        <f t="shared" si="3"/>
        <v>0.19</v>
      </c>
      <c r="Q11" s="20">
        <f t="shared" si="4"/>
        <v>0.84</v>
      </c>
      <c r="R11" s="20">
        <f t="shared" si="5"/>
        <v>46.51</v>
      </c>
      <c r="S11" s="20">
        <f t="shared" si="6"/>
        <v>63.87</v>
      </c>
      <c r="T11" s="22" t="s">
        <v>34</v>
      </c>
      <c r="U11" s="22" t="s">
        <v>28</v>
      </c>
      <c r="V11" s="44">
        <f t="shared" si="9"/>
        <v>0.96682617769827073</v>
      </c>
    </row>
    <row r="12" spans="1:22" ht="15" customHeight="1" x14ac:dyDescent="0.25">
      <c r="A12" s="13" t="s">
        <v>23</v>
      </c>
      <c r="B12" s="21">
        <v>56</v>
      </c>
      <c r="C12" s="21">
        <v>38</v>
      </c>
      <c r="D12" s="27">
        <v>16</v>
      </c>
      <c r="E12" s="27">
        <v>1</v>
      </c>
      <c r="F12" s="21">
        <v>50</v>
      </c>
      <c r="G12" s="21">
        <v>400</v>
      </c>
      <c r="H12" s="21">
        <v>29</v>
      </c>
      <c r="I12" s="21">
        <v>6996</v>
      </c>
      <c r="J12" s="21">
        <v>73</v>
      </c>
      <c r="K12" s="19">
        <f t="shared" si="0"/>
        <v>0.77</v>
      </c>
      <c r="L12" s="41">
        <f t="shared" si="7"/>
        <v>1.3698630136986301E-2</v>
      </c>
      <c r="M12" s="41">
        <f t="shared" si="8"/>
        <v>0.21917808219178081</v>
      </c>
      <c r="N12" s="19">
        <f t="shared" si="1"/>
        <v>0.68</v>
      </c>
      <c r="O12" s="19">
        <f t="shared" si="2"/>
        <v>5.48</v>
      </c>
      <c r="P12" s="19">
        <f t="shared" si="3"/>
        <v>0.4</v>
      </c>
      <c r="Q12" s="19">
        <f t="shared" si="4"/>
        <v>1.1200000000000001</v>
      </c>
      <c r="R12" s="19">
        <f t="shared" si="5"/>
        <v>67.86</v>
      </c>
      <c r="S12" s="19">
        <f t="shared" si="6"/>
        <v>95.84</v>
      </c>
      <c r="T12" s="14" t="s">
        <v>33</v>
      </c>
      <c r="U12" s="13" t="s">
        <v>28</v>
      </c>
      <c r="V12" s="44">
        <f t="shared" si="9"/>
        <v>1.2283016884358076</v>
      </c>
    </row>
    <row r="13" spans="1:22" ht="15" customHeight="1" x14ac:dyDescent="0.25">
      <c r="A13" s="13" t="s">
        <v>24</v>
      </c>
      <c r="B13" s="21">
        <v>18</v>
      </c>
      <c r="C13" s="21">
        <v>9</v>
      </c>
      <c r="D13" s="27">
        <v>1</v>
      </c>
      <c r="E13" s="27">
        <v>1</v>
      </c>
      <c r="F13" s="21">
        <v>53</v>
      </c>
      <c r="G13" s="21">
        <v>111</v>
      </c>
      <c r="H13" s="21">
        <v>16</v>
      </c>
      <c r="I13" s="21">
        <v>2380</v>
      </c>
      <c r="J13" s="21">
        <v>73</v>
      </c>
      <c r="K13" s="19">
        <f t="shared" si="0"/>
        <v>0.25</v>
      </c>
      <c r="L13" s="41">
        <f t="shared" si="7"/>
        <v>1.3698630136986301E-2</v>
      </c>
      <c r="M13" s="41">
        <f t="shared" si="8"/>
        <v>1.3698630136986301E-2</v>
      </c>
      <c r="N13" s="19">
        <f t="shared" si="1"/>
        <v>0.73</v>
      </c>
      <c r="O13" s="19">
        <f t="shared" si="2"/>
        <v>1.52</v>
      </c>
      <c r="P13" s="19">
        <f t="shared" si="3"/>
        <v>0.22</v>
      </c>
      <c r="Q13" s="19">
        <f t="shared" si="4"/>
        <v>0.34</v>
      </c>
      <c r="R13" s="19">
        <f t="shared" si="5"/>
        <v>50</v>
      </c>
      <c r="S13" s="19">
        <f t="shared" si="6"/>
        <v>32.6</v>
      </c>
      <c r="T13" s="14" t="s">
        <v>33</v>
      </c>
      <c r="U13" s="13" t="s">
        <v>28</v>
      </c>
      <c r="V13" s="44">
        <f t="shared" si="9"/>
        <v>0.56379229053838809</v>
      </c>
    </row>
    <row r="14" spans="1:22" ht="15" customHeight="1" x14ac:dyDescent="0.25">
      <c r="A14" s="23" t="s">
        <v>25</v>
      </c>
      <c r="B14" s="24">
        <v>17</v>
      </c>
      <c r="C14" s="24">
        <v>4</v>
      </c>
      <c r="D14" s="28">
        <v>4</v>
      </c>
      <c r="E14" s="28">
        <v>2</v>
      </c>
      <c r="F14" s="24">
        <v>57</v>
      </c>
      <c r="G14" s="24">
        <v>110</v>
      </c>
      <c r="H14" s="24">
        <v>22</v>
      </c>
      <c r="I14" s="24">
        <v>3449</v>
      </c>
      <c r="J14" s="24">
        <v>66</v>
      </c>
      <c r="K14" s="4">
        <f t="shared" si="0"/>
        <v>0.26</v>
      </c>
      <c r="L14" s="42">
        <f t="shared" si="7"/>
        <v>3.0303030303030304E-2</v>
      </c>
      <c r="M14" s="42">
        <f t="shared" si="8"/>
        <v>6.0606060606060608E-2</v>
      </c>
      <c r="N14" s="4">
        <f t="shared" si="1"/>
        <v>0.86</v>
      </c>
      <c r="O14" s="4">
        <f t="shared" si="2"/>
        <v>1.67</v>
      </c>
      <c r="P14" s="4">
        <f t="shared" si="3"/>
        <v>0.33</v>
      </c>
      <c r="Q14" s="4">
        <f t="shared" si="4"/>
        <v>0.3</v>
      </c>
      <c r="R14" s="4">
        <f t="shared" si="5"/>
        <v>23.53</v>
      </c>
      <c r="S14" s="4">
        <f t="shared" si="6"/>
        <v>52.26</v>
      </c>
      <c r="T14" s="23" t="s">
        <v>32</v>
      </c>
      <c r="U14" s="23" t="s">
        <v>28</v>
      </c>
      <c r="V14" s="44">
        <f t="shared" si="9"/>
        <v>0.5507818886539817</v>
      </c>
    </row>
    <row r="15" spans="1:22" ht="15" customHeight="1" x14ac:dyDescent="0.25">
      <c r="A15" s="23" t="s">
        <v>29</v>
      </c>
      <c r="B15" s="24">
        <v>23</v>
      </c>
      <c r="C15" s="24">
        <v>7</v>
      </c>
      <c r="D15" s="28">
        <v>3</v>
      </c>
      <c r="E15" s="28">
        <v>2</v>
      </c>
      <c r="F15" s="24">
        <v>57</v>
      </c>
      <c r="G15" s="23">
        <v>8</v>
      </c>
      <c r="H15" s="24">
        <v>2</v>
      </c>
      <c r="I15" s="24">
        <v>2902</v>
      </c>
      <c r="J15" s="24">
        <v>66</v>
      </c>
      <c r="K15" s="4">
        <f t="shared" si="0"/>
        <v>0.35</v>
      </c>
      <c r="L15" s="42">
        <f t="shared" si="7"/>
        <v>3.0303030303030304E-2</v>
      </c>
      <c r="M15" s="42">
        <f t="shared" si="8"/>
        <v>4.5454545454545456E-2</v>
      </c>
      <c r="N15" s="4">
        <f t="shared" si="1"/>
        <v>0.86</v>
      </c>
      <c r="O15" s="4">
        <f t="shared" si="2"/>
        <v>0.12</v>
      </c>
      <c r="P15" s="4">
        <f t="shared" si="3"/>
        <v>0.03</v>
      </c>
      <c r="Q15" s="4">
        <f t="shared" si="4"/>
        <v>0.4</v>
      </c>
      <c r="R15" s="4">
        <f t="shared" si="5"/>
        <v>30.43</v>
      </c>
      <c r="S15" s="4">
        <f t="shared" si="6"/>
        <v>43.97</v>
      </c>
      <c r="T15" s="23" t="s">
        <v>32</v>
      </c>
      <c r="U15" s="23" t="s">
        <v>28</v>
      </c>
      <c r="V15" s="44">
        <f t="shared" si="9"/>
        <v>0.53843587033121909</v>
      </c>
    </row>
  </sheetData>
  <sortState xmlns:xlrd2="http://schemas.microsoft.com/office/spreadsheetml/2017/richdata2" ref="A2:U15">
    <sortCondition sortBy="cellColor" ref="A5:A15" dxfId="0"/>
  </sortState>
  <pageMargins left="0.7" right="0.7" top="0.75" bottom="0.75" header="0" footer="0"/>
  <pageSetup orientation="landscape" r:id="rId1"/>
  <drawing r:id="rId2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JR-EXT Patrick</dc:creator>
  <cp:lastModifiedBy>BRADY JR-EXT Patrick</cp:lastModifiedBy>
  <dcterms:created xsi:type="dcterms:W3CDTF">2025-03-03T14:53:48Z</dcterms:created>
  <dcterms:modified xsi:type="dcterms:W3CDTF">2026-01-20T16:40:20Z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aa6760-dc32-42b1-9af8-b6b7dd0c31e7_Enabled">
    <vt:lpwstr>true</vt:lpwstr>
  </property>
  <property fmtid="{D5CDD505-2E9C-101B-9397-08002B2CF9AE}" pid="3" name="MSIP_Label_edaa6760-dc32-42b1-9af8-b6b7dd0c31e7_SetDate">
    <vt:lpwstr>2025-03-03T19:37:57Z</vt:lpwstr>
  </property>
  <property fmtid="{D5CDD505-2E9C-101B-9397-08002B2CF9AE}" pid="4" name="MSIP_Label_edaa6760-dc32-42b1-9af8-b6b7dd0c31e7_Method">
    <vt:lpwstr>Standard</vt:lpwstr>
  </property>
  <property fmtid="{D5CDD505-2E9C-101B-9397-08002B2CF9AE}" pid="5" name="MSIP_Label_edaa6760-dc32-42b1-9af8-b6b7dd0c31e7_Name">
    <vt:lpwstr>Internal EA</vt:lpwstr>
  </property>
  <property fmtid="{D5CDD505-2E9C-101B-9397-08002B2CF9AE}" pid="6" name="MSIP_Label_edaa6760-dc32-42b1-9af8-b6b7dd0c31e7_SiteId">
    <vt:lpwstr>9fdb1b0c-e154-4e66-9ecb-b70f283e1e71</vt:lpwstr>
  </property>
  <property fmtid="{D5CDD505-2E9C-101B-9397-08002B2CF9AE}" pid="7" name="MSIP_Label_edaa6760-dc32-42b1-9af8-b6b7dd0c31e7_ActionId">
    <vt:lpwstr>35206437-1543-41ce-a078-7957c62d4ecd</vt:lpwstr>
  </property>
  <property fmtid="{D5CDD505-2E9C-101B-9397-08002B2CF9AE}" pid="8" name="MSIP_Label_edaa6760-dc32-42b1-9af8-b6b7dd0c31e7_ContentBits">
    <vt:lpwstr>0</vt:lpwstr>
  </property>
</Properties>
</file>