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"/>
    </mc:Choice>
  </mc:AlternateContent>
  <xr:revisionPtr revIDLastSave="0" documentId="13_ncr:1_{52A1E991-85A1-4CFA-AD8F-8DE2ABD22DAF}" xr6:coauthVersionLast="47" xr6:coauthVersionMax="47" xr10:uidLastSave="{00000000-0000-0000-0000-000000000000}"/>
  <bookViews>
    <workbookView xWindow="4305" yWindow="2340" windowWidth="30540" windowHeight="16590" tabRatio="38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20" i="1"/>
  <c r="AC21" i="1"/>
  <c r="AC22" i="1"/>
  <c r="AC23" i="1"/>
  <c r="AC24" i="1"/>
  <c r="AC25" i="1"/>
  <c r="AC26" i="1"/>
  <c r="AC27" i="1"/>
  <c r="AC28" i="1"/>
  <c r="AC29" i="1"/>
  <c r="AC19" i="1"/>
  <c r="AI20" i="1"/>
  <c r="AI21" i="1"/>
  <c r="AI22" i="1"/>
  <c r="AI23" i="1"/>
  <c r="AI24" i="1"/>
  <c r="AI25" i="1"/>
  <c r="AI26" i="1"/>
  <c r="AI27" i="1"/>
  <c r="AI28" i="1"/>
  <c r="AI29" i="1"/>
  <c r="AI19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2" i="1"/>
  <c r="AD29" i="1"/>
  <c r="AE29" i="1"/>
  <c r="AF29" i="1"/>
  <c r="AG29" i="1"/>
  <c r="AH29" i="1"/>
  <c r="AH28" i="1"/>
  <c r="AG28" i="1"/>
  <c r="AF28" i="1"/>
  <c r="AE28" i="1"/>
  <c r="AD28" i="1"/>
  <c r="AH27" i="1"/>
  <c r="AG27" i="1"/>
  <c r="AF27" i="1"/>
  <c r="AE27" i="1"/>
  <c r="AD27" i="1"/>
  <c r="AH26" i="1"/>
  <c r="AG26" i="1"/>
  <c r="AF26" i="1"/>
  <c r="AE26" i="1"/>
  <c r="AD26" i="1"/>
  <c r="AD25" i="1"/>
  <c r="AE25" i="1"/>
  <c r="AF25" i="1"/>
  <c r="AG25" i="1"/>
  <c r="AH25" i="1"/>
  <c r="AD20" i="1"/>
  <c r="AD21" i="1"/>
  <c r="AD22" i="1"/>
  <c r="AD23" i="1"/>
  <c r="AD24" i="1"/>
  <c r="AD19" i="1"/>
  <c r="P15" i="1"/>
  <c r="P14" i="1"/>
  <c r="P13" i="1"/>
  <c r="P12" i="1"/>
  <c r="P10" i="1"/>
  <c r="P11" i="1"/>
  <c r="P9" i="1"/>
  <c r="P8" i="1"/>
  <c r="P7" i="1"/>
  <c r="P6" i="1"/>
  <c r="P5" i="1"/>
  <c r="P4" i="1"/>
  <c r="P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2" i="1"/>
  <c r="AH24" i="1"/>
  <c r="AG24" i="1"/>
  <c r="AF24" i="1"/>
  <c r="AE24" i="1"/>
  <c r="AE20" i="1"/>
  <c r="AE21" i="1"/>
  <c r="AE22" i="1"/>
  <c r="AE23" i="1"/>
  <c r="AE1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2" i="1"/>
  <c r="T2" i="1"/>
  <c r="T15" i="1"/>
  <c r="T14" i="1"/>
  <c r="T13" i="1"/>
  <c r="T12" i="1"/>
  <c r="T11" i="1"/>
  <c r="T10" i="1"/>
  <c r="T9" i="1"/>
  <c r="T7" i="1"/>
  <c r="T6" i="1"/>
  <c r="T8" i="1"/>
  <c r="T5" i="1"/>
  <c r="T3" i="1"/>
  <c r="T4" i="1"/>
  <c r="AF20" i="1"/>
  <c r="AF21" i="1"/>
  <c r="AF22" i="1"/>
  <c r="AF23" i="1"/>
  <c r="AG20" i="1"/>
  <c r="AG21" i="1"/>
  <c r="AG22" i="1"/>
  <c r="AG23" i="1"/>
  <c r="AH20" i="1"/>
  <c r="AH21" i="1"/>
  <c r="AH22" i="1"/>
  <c r="AH23" i="1"/>
  <c r="AH19" i="1"/>
  <c r="AF19" i="1"/>
  <c r="AG19" i="1"/>
  <c r="Z15" i="1"/>
  <c r="Y15" i="1"/>
  <c r="X15" i="1"/>
  <c r="W15" i="1"/>
  <c r="V15" i="1"/>
  <c r="S15" i="1"/>
  <c r="N15" i="1"/>
  <c r="Z14" i="1"/>
  <c r="Y14" i="1"/>
  <c r="X14" i="1"/>
  <c r="W14" i="1"/>
  <c r="V14" i="1"/>
  <c r="S14" i="1"/>
  <c r="N14" i="1"/>
  <c r="Z13" i="1"/>
  <c r="Y13" i="1"/>
  <c r="X13" i="1"/>
  <c r="W13" i="1"/>
  <c r="V13" i="1"/>
  <c r="S13" i="1"/>
  <c r="N13" i="1"/>
  <c r="Z12" i="1"/>
  <c r="Y12" i="1"/>
  <c r="X12" i="1"/>
  <c r="W12" i="1"/>
  <c r="V12" i="1"/>
  <c r="S12" i="1"/>
  <c r="N12" i="1"/>
  <c r="Z11" i="1"/>
  <c r="Y11" i="1"/>
  <c r="X11" i="1"/>
  <c r="W11" i="1"/>
  <c r="V11" i="1"/>
  <c r="S11" i="1"/>
  <c r="N11" i="1"/>
  <c r="Z10" i="1"/>
  <c r="Y10" i="1"/>
  <c r="X10" i="1"/>
  <c r="W10" i="1"/>
  <c r="V10" i="1"/>
  <c r="S10" i="1"/>
  <c r="N10" i="1"/>
  <c r="Z9" i="1"/>
  <c r="Y9" i="1"/>
  <c r="X9" i="1"/>
  <c r="W9" i="1"/>
  <c r="V9" i="1"/>
  <c r="S9" i="1"/>
  <c r="N9" i="1"/>
  <c r="Z8" i="1"/>
  <c r="Y8" i="1"/>
  <c r="X8" i="1"/>
  <c r="W8" i="1"/>
  <c r="V8" i="1"/>
  <c r="S8" i="1"/>
  <c r="N8" i="1"/>
  <c r="Z7" i="1"/>
  <c r="Y7" i="1"/>
  <c r="X7" i="1"/>
  <c r="W7" i="1"/>
  <c r="V7" i="1"/>
  <c r="S7" i="1"/>
  <c r="N7" i="1"/>
  <c r="Z6" i="1"/>
  <c r="Y6" i="1"/>
  <c r="X6" i="1"/>
  <c r="W6" i="1"/>
  <c r="V6" i="1"/>
  <c r="S6" i="1"/>
  <c r="N6" i="1"/>
  <c r="Z5" i="1"/>
  <c r="Y5" i="1"/>
  <c r="X5" i="1"/>
  <c r="W5" i="1"/>
  <c r="V5" i="1"/>
  <c r="S5" i="1"/>
  <c r="N5" i="1"/>
  <c r="Z4" i="1"/>
  <c r="Y4" i="1"/>
  <c r="X4" i="1"/>
  <c r="W4" i="1"/>
  <c r="V4" i="1"/>
  <c r="S4" i="1"/>
  <c r="N4" i="1"/>
  <c r="Z3" i="1"/>
  <c r="Y3" i="1"/>
  <c r="X3" i="1"/>
  <c r="W3" i="1"/>
  <c r="V3" i="1"/>
  <c r="S3" i="1"/>
  <c r="N3" i="1"/>
  <c r="Z2" i="1"/>
  <c r="Y2" i="1"/>
  <c r="X2" i="1"/>
  <c r="W2" i="1"/>
  <c r="V2" i="1"/>
  <c r="S2" i="1"/>
  <c r="N2" i="1"/>
  <c r="AC16" i="1" l="1"/>
  <c r="AD3" i="1"/>
  <c r="AD15" i="1"/>
  <c r="AD5" i="1"/>
  <c r="AD2" i="1"/>
  <c r="AD9" i="1"/>
  <c r="AD4" i="1"/>
  <c r="AD8" i="1"/>
  <c r="AD7" i="1"/>
  <c r="AD6" i="1"/>
  <c r="AD13" i="1"/>
  <c r="AD11" i="1"/>
  <c r="AD14" i="1"/>
  <c r="AD10" i="1"/>
  <c r="AD12" i="1"/>
  <c r="O16" i="1"/>
  <c r="P16" i="1"/>
  <c r="R16" i="1"/>
  <c r="Q16" i="1"/>
  <c r="R17" i="1"/>
  <c r="Q17" i="1"/>
  <c r="P17" i="1"/>
  <c r="O17" i="1"/>
  <c r="AG10" i="1"/>
  <c r="AG5" i="1"/>
  <c r="AE2" i="1"/>
  <c r="AE9" i="1"/>
  <c r="AG11" i="1"/>
  <c r="AG8" i="1"/>
  <c r="AE11" i="1"/>
  <c r="AE13" i="1"/>
  <c r="AE15" i="1"/>
  <c r="AE12" i="1"/>
  <c r="AG2" i="1"/>
  <c r="AG14" i="1"/>
  <c r="AE3" i="1"/>
  <c r="AG6" i="1"/>
  <c r="AE4" i="1"/>
  <c r="AG4" i="1"/>
  <c r="AE5" i="1"/>
  <c r="AG7" i="1"/>
  <c r="AE14" i="1"/>
  <c r="AG9" i="1"/>
  <c r="AE10" i="1"/>
  <c r="AE6" i="1"/>
  <c r="AG15" i="1"/>
  <c r="AG3" i="1"/>
  <c r="AE7" i="1"/>
  <c r="AG13" i="1"/>
  <c r="AG12" i="1"/>
  <c r="AE8" i="1"/>
  <c r="AH12" i="1"/>
  <c r="AH2" i="1"/>
  <c r="AH14" i="1"/>
  <c r="AH9" i="1"/>
  <c r="AH4" i="1"/>
  <c r="AH11" i="1"/>
  <c r="AF14" i="1"/>
  <c r="AF11" i="1"/>
  <c r="Y17" i="1"/>
  <c r="AH6" i="1"/>
  <c r="AF7" i="1"/>
  <c r="AH8" i="1"/>
  <c r="AF9" i="1"/>
  <c r="AH3" i="1"/>
  <c r="AH15" i="1"/>
  <c r="AF10" i="1"/>
  <c r="S17" i="1"/>
  <c r="AH5" i="1"/>
  <c r="AH7" i="1"/>
  <c r="AF2" i="1"/>
  <c r="AH13" i="1"/>
  <c r="AF8" i="1"/>
  <c r="AF6" i="1"/>
  <c r="AF5" i="1"/>
  <c r="AF4" i="1"/>
  <c r="AF15" i="1"/>
  <c r="AF3" i="1"/>
  <c r="W17" i="1"/>
  <c r="AF12" i="1"/>
  <c r="AH10" i="1"/>
  <c r="AF13" i="1"/>
  <c r="X17" i="1"/>
  <c r="N17" i="1"/>
  <c r="Z17" i="1"/>
  <c r="Z16" i="1"/>
  <c r="V17" i="1"/>
  <c r="S16" i="1"/>
  <c r="V16" i="1"/>
  <c r="N16" i="1"/>
  <c r="W16" i="1"/>
  <c r="X16" i="1"/>
  <c r="Y16" i="1"/>
  <c r="AI16" i="1" l="1"/>
  <c r="AI17" i="1"/>
  <c r="AC17" i="1"/>
  <c r="AD16" i="1"/>
  <c r="AD17" i="1"/>
  <c r="AE16" i="1"/>
  <c r="AE17" i="1"/>
  <c r="AH16" i="1"/>
  <c r="AG17" i="1"/>
  <c r="AG16" i="1"/>
  <c r="AF17" i="1"/>
  <c r="AF16" i="1"/>
  <c r="AH17" i="1"/>
  <c r="AJ14" i="1"/>
  <c r="AJ11" i="1"/>
  <c r="AJ7" i="1"/>
  <c r="AJ6" i="1"/>
  <c r="AJ5" i="1"/>
  <c r="AN2" i="1"/>
  <c r="AJ4" i="1"/>
  <c r="AJ15" i="1"/>
  <c r="AN15" i="1"/>
  <c r="AJ3" i="1"/>
  <c r="AN14" i="1"/>
  <c r="AJ13" i="1"/>
  <c r="AN10" i="1"/>
  <c r="AN11" i="1"/>
  <c r="AJ2" i="1"/>
  <c r="AJ12" i="1"/>
  <c r="AJ10" i="1"/>
  <c r="AJ9" i="1"/>
  <c r="AJ8" i="1"/>
  <c r="AN6" i="1"/>
  <c r="AN4" i="1"/>
  <c r="AN9" i="1"/>
  <c r="AN8" i="1"/>
  <c r="AN7" i="1"/>
  <c r="AN3" i="1"/>
  <c r="AN5" i="1"/>
  <c r="AN12" i="1"/>
  <c r="AN13" i="1"/>
  <c r="AM13" i="1"/>
  <c r="AL4" i="1"/>
  <c r="AM3" i="1"/>
  <c r="AL9" i="1"/>
  <c r="AM4" i="1"/>
  <c r="AL11" i="1"/>
  <c r="AM8" i="1"/>
  <c r="AL12" i="1"/>
  <c r="AL14" i="1"/>
  <c r="AM7" i="1"/>
  <c r="AM10" i="1"/>
  <c r="AL5" i="1"/>
  <c r="AL7" i="1"/>
  <c r="AL8" i="1"/>
  <c r="AM14" i="1"/>
  <c r="AM15" i="1"/>
  <c r="AL2" i="1"/>
  <c r="AL10" i="1"/>
  <c r="AM2" i="1"/>
  <c r="AM5" i="1"/>
  <c r="AL13" i="1"/>
  <c r="AM6" i="1"/>
  <c r="AM9" i="1"/>
  <c r="AL3" i="1"/>
  <c r="AM12" i="1"/>
  <c r="AL15" i="1"/>
  <c r="AM11" i="1"/>
  <c r="AL6" i="1"/>
  <c r="AK8" i="1"/>
  <c r="AK3" i="1"/>
  <c r="AK2" i="1"/>
  <c r="AK7" i="1"/>
  <c r="AK11" i="1"/>
  <c r="AK5" i="1"/>
  <c r="AK10" i="1"/>
  <c r="AK15" i="1"/>
  <c r="AK6" i="1"/>
  <c r="AK13" i="1"/>
  <c r="AK4" i="1"/>
  <c r="AK9" i="1"/>
  <c r="AK14" i="1"/>
  <c r="AK12" i="1"/>
  <c r="AJ16" i="1" l="1"/>
  <c r="AJ17" i="1"/>
  <c r="AN16" i="1"/>
  <c r="AN17" i="1"/>
  <c r="AM17" i="1"/>
  <c r="AL17" i="1"/>
  <c r="AK17" i="1"/>
  <c r="AM16" i="1"/>
  <c r="AL16" i="1"/>
  <c r="AK16" i="1"/>
</calcChain>
</file>

<file path=xl/sharedStrings.xml><?xml version="1.0" encoding="utf-8"?>
<sst xmlns="http://schemas.openxmlformats.org/spreadsheetml/2006/main" count="113" uniqueCount="90">
  <si>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</si>
  <si>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</si>
  <si>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</si>
  <si>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</si>
  <si>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</si>
  <si>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</si>
  <si>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</si>
  <si>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</si>
  <si>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</si>
  <si>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</si>
  <si>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</si>
  <si>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</si>
  <si>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</si>
  <si>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</si>
  <si>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</si>
  <si>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</si>
  <si>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</si>
  <si>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</si>
  <si>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</si>
  <si>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</si>
  <si>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</si>
  <si>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</si>
  <si>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</si>
  <si>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</si>
  <si>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</si>
  <si>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</si>
  <si>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</si>
  <si>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</si>
  <si>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</si>
  <si>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</si>
  <si>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</si>
  <si>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</si>
  <si>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Rating A: [(ΔKPR-ΔDPR+ΔADR)/100]+1</t>
  </si>
  <si>
    <t>AVG</t>
  </si>
  <si>
    <t>MED</t>
  </si>
  <si>
    <t>RatingA</t>
  </si>
  <si>
    <t>Rating E: [(ΔKPR-ΔDPR+ΔADR)/100]*10</t>
  </si>
  <si>
    <t>Rating F: [ΔKPR-ΔDPR+(ΔADR/114)]+1</t>
  </si>
  <si>
    <t>RatingE</t>
  </si>
  <si>
    <t>RatingF</t>
  </si>
  <si>
    <t>RatingAF</t>
  </si>
  <si>
    <t>Rating AF: ={[ΔKPR-ΔDPR+(ΔADR/100)]/2}+1</t>
  </si>
  <si>
    <t>RatingEF</t>
  </si>
  <si>
    <t>Rating AF: ={[ΔKPR-ΔDPR+(ΔADR/100)]/2}*10</t>
  </si>
  <si>
    <t>6th</t>
  </si>
  <si>
    <t>7th</t>
  </si>
  <si>
    <t>RatingG</t>
  </si>
  <si>
    <t>Notes</t>
  </si>
  <si>
    <t>RatingG=[(kpr/2)+(1-dpr)+(adr/200)]</t>
  </si>
  <si>
    <t>Rating G is solid, probably need to factor in mulit kills/entrying/clutch/util. Good objective measure</t>
  </si>
  <si>
    <t>Rating AF/EF is good as well, just doesn't work from match to match…only really good from a large sample size to compare between players.</t>
  </si>
  <si>
    <t>1st-4th</t>
  </si>
  <si>
    <t>5th</t>
  </si>
  <si>
    <t>RatingG1.1</t>
  </si>
  <si>
    <t>RatingG1.1=[(kpr/2)+(1-dpr)+(adr/200)+(efr/9)]</t>
  </si>
  <si>
    <t>RatingG1.2</t>
  </si>
  <si>
    <t>1.1 includes EFS, 1.2 includes a downsizing to average around 1.0. Nice balance between AF &amp; G</t>
  </si>
  <si>
    <t>RatingG1.2={[(kpr/2)+(1-dpr)+(adr/200)+(efr/9)]/1.06}</t>
  </si>
  <si>
    <t>Stan Kato2019</t>
  </si>
  <si>
    <t>n0thing Kato2019</t>
  </si>
  <si>
    <t>HLTV2.0</t>
  </si>
  <si>
    <t>Think G1.2 is actually a good rating, mix between AF+G &amp; compareable to HLTV2.0</t>
  </si>
  <si>
    <t>RatingG1.3</t>
  </si>
  <si>
    <t>Comparing with HLTV2.0, average &amp; bad players from 1.2 is same, good/best players 1.1 is same. Think this is due to 1.2 being averaged to 1.00, also KAST not included.KAST is a little redundant so better = better worse = worse.</t>
  </si>
  <si>
    <t>1.3 no longer averages to 1.00, also has framework for saving+trading. Punished a little for saving, ameliorated for being traded a little</t>
  </si>
  <si>
    <t>S</t>
  </si>
  <si>
    <t>TD</t>
  </si>
  <si>
    <t>TDPR</t>
  </si>
  <si>
    <t>SPR</t>
  </si>
  <si>
    <t>Device Majors2019</t>
  </si>
  <si>
    <t>Simple Majors2019</t>
  </si>
  <si>
    <t>Kio Majors2019</t>
  </si>
  <si>
    <t>RatingG1.3={(kpr/2)+[1-(dpr-(.25tdpr+.5spr)]+(adr/200)+(efr/18)}</t>
  </si>
  <si>
    <t>MKPR</t>
  </si>
  <si>
    <t>MK</t>
  </si>
  <si>
    <t>OK</t>
  </si>
  <si>
    <t>OA</t>
  </si>
  <si>
    <t>OKPR</t>
  </si>
  <si>
    <t>OAR%</t>
  </si>
  <si>
    <t>OKS%</t>
  </si>
  <si>
    <t>RatingG1.4={0.5*[(kpr-okpr)+(1.5*okpr)+mkpr]+[1-(dpr-(.25tdpr+.5spr)]+(adr/200)+(efr/18)}</t>
  </si>
  <si>
    <t>Rating1.4</t>
  </si>
  <si>
    <t>Rating1.5</t>
  </si>
  <si>
    <t>Worst</t>
  </si>
  <si>
    <t>Best</t>
  </si>
  <si>
    <t>Rating1.5ify</t>
  </si>
  <si>
    <t>1.4 -  entires</t>
  </si>
  <si>
    <t>1.5 - openers, multis, general readjustments to weight in certain stats</t>
  </si>
  <si>
    <t>Rating1.5=[0.5*(kpr-okpr+1.25*okpr)+(mkpr/3)-(dpr-.2tdpr+.5spr)+(adr/250)+(efr/18)]+1</t>
  </si>
  <si>
    <t>Rating1.5ify=[0.5*(kpr-okpr+1.25*okpr)+(mkpr/3)-(dpr-.2tdpr+.5spr)+(adr/250)+(efr/18)]*10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</si>
</sst>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8"/>
      <name val="Aptos Narrow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D05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 applyFont="1" applyAlignment="1"/>
    <xf numFmtId="0" fontId="0" fillId="0" borderId="0" xfId="0" applyFont="1" applyBorder="1" applyAlignment="1"/>
    <xf numFmtId="2" fontId="0" fillId="0" borderId="0" xfId="0" applyNumberFormat="1" applyFont="1" applyAlignment="1"/>
    <xf numFmtId="0" fontId="8" fillId="0" borderId="0" xfId="0" applyFont="1" applyBorder="1" applyAlignment="1"/>
    <xf numFmtId="0" fontId="8" fillId="0" borderId="0" xfId="0" applyFont="1" applyAlignment="1"/>
    <xf numFmtId="2" fontId="0" fillId="16" borderId="0" xfId="0" applyNumberFormat="1" applyFont="1" applyFill="1" applyAlignment="1"/>
    <xf numFmtId="0" fontId="8" fillId="0" borderId="1" xfId="0" applyFont="1" applyFill="1" applyBorder="1" applyAlignment="1"/>
    <xf numFmtId="0" fontId="7" fillId="0" borderId="0" xfId="0" applyFont="1" applyBorder="1" applyAlignment="1"/>
    <xf numFmtId="0" fontId="7" fillId="16" borderId="0" xfId="0" applyFont="1" applyFill="1" applyAlignment="1"/>
    <xf numFmtId="0" fontId="7" fillId="17" borderId="0" xfId="0" applyFont="1" applyFill="1" applyAlignment="1"/>
    <xf numFmtId="2" fontId="0" fillId="17" borderId="0" xfId="0" applyNumberFormat="1" applyFont="1" applyFill="1" applyAlignment="1"/>
    <xf numFmtId="0" fontId="7" fillId="0" borderId="0" xfId="0" applyFont="1" applyFill="1" applyAlignment="1"/>
    <xf numFmtId="2" fontId="0" fillId="0" borderId="0" xfId="0" applyNumberFormat="1" applyFont="1" applyFill="1" applyAlignment="1"/>
    <xf numFmtId="0" fontId="6" fillId="0" borderId="1" xfId="0" applyFont="1" applyFill="1" applyBorder="1" applyAlignment="1"/>
    <xf numFmtId="0" fontId="6" fillId="18" borderId="0" xfId="0" applyFont="1" applyFill="1" applyAlignment="1"/>
    <xf numFmtId="2" fontId="0" fillId="18" borderId="0" xfId="0" applyNumberFormat="1" applyFont="1" applyFill="1" applyAlignment="1"/>
    <xf numFmtId="0" fontId="5" fillId="0" borderId="1" xfId="0" applyFont="1" applyFill="1" applyBorder="1" applyAlignment="1"/>
    <xf numFmtId="0" fontId="5" fillId="19" borderId="0" xfId="0" applyFont="1" applyFill="1" applyAlignment="1"/>
    <xf numFmtId="2" fontId="0" fillId="19" borderId="0" xfId="0" applyNumberFormat="1" applyFont="1" applyFill="1" applyAlignment="1"/>
    <xf numFmtId="0" fontId="5" fillId="20" borderId="0" xfId="0" applyFont="1" applyFill="1" applyAlignment="1"/>
    <xf numFmtId="2" fontId="0" fillId="20" borderId="0" xfId="0" applyNumberFormat="1" applyFont="1" applyFill="1" applyAlignment="1"/>
    <xf numFmtId="0" fontId="5" fillId="0" borderId="0" xfId="0" applyFont="1" applyAlignment="1"/>
    <xf numFmtId="0" fontId="5" fillId="21" borderId="0" xfId="0" applyFont="1" applyFill="1" applyAlignment="1"/>
    <xf numFmtId="2" fontId="0" fillId="21" borderId="0" xfId="0" applyNumberFormat="1" applyFont="1" applyFill="1" applyAlignment="1"/>
    <xf numFmtId="0" fontId="4" fillId="0" borderId="1" xfId="0" applyFont="1" applyFill="1" applyBorder="1" applyAlignment="1"/>
    <xf numFmtId="0" fontId="4" fillId="0" borderId="0" xfId="0" applyFont="1" applyAlignment="1"/>
    <xf numFmtId="0" fontId="9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12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1" fillId="13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/>
    </xf>
    <xf numFmtId="16" fontId="11" fillId="3" borderId="1" xfId="0" applyNumberFormat="1" applyFont="1" applyFill="1" applyBorder="1" applyAlignment="1">
      <alignment horizontal="center"/>
    </xf>
    <xf numFmtId="16" fontId="12" fillId="3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1" fillId="15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0" fillId="6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2" fontId="11" fillId="12" borderId="1" xfId="0" applyNumberFormat="1" applyFont="1" applyFill="1" applyBorder="1" applyAlignment="1">
      <alignment horizontal="center"/>
    </xf>
    <xf numFmtId="2" fontId="11" fillId="13" borderId="1" xfId="0" applyNumberFormat="1" applyFont="1" applyFill="1" applyBorder="1" applyAlignment="1">
      <alignment horizontal="center"/>
    </xf>
    <xf numFmtId="2" fontId="11" fillId="10" borderId="1" xfId="0" applyNumberFormat="1" applyFont="1" applyFill="1" applyBorder="1" applyAlignment="1">
      <alignment horizontal="center"/>
    </xf>
    <xf numFmtId="2" fontId="11" fillId="11" borderId="1" xfId="0" applyNumberFormat="1" applyFont="1" applyFill="1" applyBorder="1" applyAlignment="1">
      <alignment horizontal="center"/>
    </xf>
    <xf numFmtId="2" fontId="11" fillId="15" borderId="1" xfId="0" applyNumberFormat="1" applyFont="1" applyFill="1" applyBorder="1" applyAlignment="1">
      <alignment horizontal="center"/>
    </xf>
    <xf numFmtId="2" fontId="11" fillId="14" borderId="1" xfId="0" applyNumberFormat="1" applyFont="1" applyFill="1" applyBorder="1" applyAlignment="1">
      <alignment horizontal="center"/>
    </xf>
    <xf numFmtId="2" fontId="11" fillId="5" borderId="1" xfId="0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6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2" fontId="0" fillId="22" borderId="0" xfId="0" applyNumberFormat="1" applyFont="1" applyFill="1" applyAlignment="1"/>
    <xf numFmtId="0" fontId="2" fillId="0" borderId="1" xfId="0" applyFont="1" applyFill="1" applyBorder="1" applyAlignment="1"/>
    <xf numFmtId="0" fontId="2" fillId="22" borderId="0" xfId="0" applyFont="1" applyFill="1" applyAlignment="1"/>
    <xf numFmtId="0" fontId="2" fillId="23" borderId="0" xfId="0" applyFont="1" applyFill="1" applyAlignment="1"/>
    <xf numFmtId="2" fontId="0" fillId="23" borderId="0" xfId="0" applyNumberFormat="1" applyFont="1" applyFill="1" applyAlignment="1"/>
    <xf numFmtId="0" fontId="2" fillId="24" borderId="0" xfId="0" applyFont="1" applyFill="1" applyAlignment="1"/>
    <xf numFmtId="2" fontId="0" fillId="24" borderId="0" xfId="0" applyNumberFormat="1" applyFont="1" applyFill="1" applyAlignment="1"/>
    <xf numFmtId="0" fontId="2" fillId="0" borderId="0" xfId="0" applyFont="1" applyAlignment="1"/>
    <xf numFmtId="0" fontId="1" fillId="0" borderId="1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colors>
    <mruColors>
      <color rgb="FF8BD355"/>
      <color rgb="FF64D056"/>
      <color rgb="FF92D050"/>
      <color rgb="FF6EC72B"/>
      <color rgb="FF90DB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EAA08566-58A1-49C4-9FAE-484FED03B69C}"/>
            </a:ext>
          </a:extLst>
        </xdr:cNvPr>
        <xdr:cNvSpPr txBox="1"/>
      </xdr:nvSpPr>
      <xdr:spPr>
        <a:xfrm>
          <a:off x="118205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E88F5EC3-F573-465B-BE60-05C33BC21944}"/>
            </a:ext>
          </a:extLst>
        </xdr:cNvPr>
        <xdr:cNvSpPr txBox="1"/>
      </xdr:nvSpPr>
      <xdr:spPr>
        <a:xfrm>
          <a:off x="13296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35AED18-D6D4-43DD-8E1E-D0B6B847A147}"/>
            </a:ext>
          </a:extLst>
        </xdr:cNvPr>
        <xdr:cNvSpPr txBox="1"/>
      </xdr:nvSpPr>
      <xdr:spPr>
        <a:xfrm>
          <a:off x="140112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22AF439A-2E7D-4AFD-A804-961A4135D038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2DCF781B-0342-4603-A8F7-3EF280FA9F68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F54AE1E9-6A63-4D28-AE27-C819A9317700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85C5881B-09D0-4EA5-86DA-5DB54E6D15E2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5A047509-F79F-42E4-9B29-9AAA317DF422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87B574E1-C57A-4F7B-9CA8-C121D1CDACAE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697BFEB-3BB4-44B7-ADEA-6C229F5D4E14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27</xdr:col>
      <xdr:colOff>514350</xdr:colOff>
      <xdr:row>15</xdr:row>
      <xdr:rowOff>0</xdr:rowOff>
    </xdr:from>
    <xdr:ext cx="38100" cy="17145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F3E1B38F-0D8E-459D-AA2F-05E2D71EF6F3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33</xdr:col>
      <xdr:colOff>0</xdr:colOff>
      <xdr:row>15</xdr:row>
      <xdr:rowOff>0</xdr:rowOff>
    </xdr:from>
    <xdr:ext cx="38100" cy="1714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8AC4A538-FAEC-4279-8F3D-A247AC4FF24B}"/>
            </a:ext>
          </a:extLst>
        </xdr:cNvPr>
        <xdr:cNvSpPr txBox="1"/>
      </xdr:nvSpPr>
      <xdr:spPr>
        <a:xfrm>
          <a:off x="120015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32</xdr:col>
      <xdr:colOff>0</xdr:colOff>
      <xdr:row>15</xdr:row>
      <xdr:rowOff>0</xdr:rowOff>
    </xdr:from>
    <xdr:ext cx="38100" cy="1714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BDDABD14-9707-43CB-99EB-5918181E4D58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32</xdr:col>
      <xdr:colOff>0</xdr:colOff>
      <xdr:row>15</xdr:row>
      <xdr:rowOff>0</xdr:rowOff>
    </xdr:from>
    <xdr:ext cx="38100" cy="17145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759097B9-24E6-45E7-A378-27B9E5425424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31</xdr:col>
      <xdr:colOff>0</xdr:colOff>
      <xdr:row>15</xdr:row>
      <xdr:rowOff>0</xdr:rowOff>
    </xdr:from>
    <xdr:ext cx="38100" cy="17145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D194B1EA-88C3-49A6-A37D-C1D4CA172465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31</xdr:col>
      <xdr:colOff>0</xdr:colOff>
      <xdr:row>15</xdr:row>
      <xdr:rowOff>0</xdr:rowOff>
    </xdr:from>
    <xdr:ext cx="38100" cy="171450"/>
    <xdr:sp macro="" textlink="">
      <xdr:nvSpPr>
        <xdr:cNvPr id="14" name="Shape 3">
          <a:extLst>
            <a:ext uri="{FF2B5EF4-FFF2-40B4-BE49-F238E27FC236}">
              <a16:creationId xmlns:a16="http://schemas.microsoft.com/office/drawing/2014/main" id="{48E09B9E-532B-459A-AE9A-64AD8DBA51B2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30</xdr:col>
      <xdr:colOff>0</xdr:colOff>
      <xdr:row>15</xdr:row>
      <xdr:rowOff>0</xdr:rowOff>
    </xdr:from>
    <xdr:ext cx="38100" cy="171450"/>
    <xdr:sp macro="" textlink="">
      <xdr:nvSpPr>
        <xdr:cNvPr id="19" name="Shape 3">
          <a:extLst>
            <a:ext uri="{FF2B5EF4-FFF2-40B4-BE49-F238E27FC236}">
              <a16:creationId xmlns:a16="http://schemas.microsoft.com/office/drawing/2014/main" id="{CDBDA33C-07FA-4F39-8384-B6147B73EAE9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30</xdr:col>
      <xdr:colOff>0</xdr:colOff>
      <xdr:row>15</xdr:row>
      <xdr:rowOff>0</xdr:rowOff>
    </xdr:from>
    <xdr:ext cx="38100" cy="17145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2A7E7D40-E50E-4CB9-AE97-470FD0E86702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30</xdr:col>
      <xdr:colOff>0</xdr:colOff>
      <xdr:row>16</xdr:row>
      <xdr:rowOff>0</xdr:rowOff>
    </xdr:from>
    <xdr:ext cx="38100" cy="171450"/>
    <xdr:sp macro="" textlink="">
      <xdr:nvSpPr>
        <xdr:cNvPr id="23" name="Shape 3">
          <a:extLst>
            <a:ext uri="{FF2B5EF4-FFF2-40B4-BE49-F238E27FC236}">
              <a16:creationId xmlns:a16="http://schemas.microsoft.com/office/drawing/2014/main" id="{236411CA-F726-4AAA-9873-ABE23E2708A3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30</xdr:col>
      <xdr:colOff>0</xdr:colOff>
      <xdr:row>16</xdr:row>
      <xdr:rowOff>0</xdr:rowOff>
    </xdr:from>
    <xdr:ext cx="38100" cy="171450"/>
    <xdr:sp macro="" textlink="">
      <xdr:nvSpPr>
        <xdr:cNvPr id="24" name="Shape 3">
          <a:extLst>
            <a:ext uri="{FF2B5EF4-FFF2-40B4-BE49-F238E27FC236}">
              <a16:creationId xmlns:a16="http://schemas.microsoft.com/office/drawing/2014/main" id="{3CCB3FC7-1A9A-46AA-8713-D6A7C465FCB4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9"/>
  <sheetViews>
    <sheetView tabSelected="1" zoomScaleNormal="100" workbookViewId="0">
      <selection activeCell="B4" sqref="B4"/>
    </sheetView>
  </sheetViews>
  <sheetFormatPr defaultColWidth="12.5703125" defaultRowHeight="15" customHeight="1" x14ac:dyDescent="0.25"/>
  <cols>
    <col min="1" max="26" width="8.5703125" customWidth="1"/>
    <col min="27" max="27" width="10.28515625" customWidth="1"/>
    <col min="28" max="28" width="8.5703125" customWidth="1"/>
    <col min="29" max="30" width="9.140625" bestFit="1" customWidth="1"/>
    <col min="31" max="33" width="10.42578125" bestFit="1" customWidth="1"/>
    <col min="34" max="34" width="7.85546875" bestFit="1" customWidth="1"/>
    <col min="35" max="35" width="11.140625" bestFit="1" customWidth="1"/>
    <col min="36" max="36" width="8.5703125" bestFit="1" customWidth="1"/>
    <col min="37" max="39" width="7.5703125" bestFit="1" customWidth="1"/>
    <col min="40" max="40" width="8.7109375" bestFit="1" customWidth="1"/>
  </cols>
  <sheetData>
    <row r="1" spans="1:40" x14ac:dyDescent="0.25">
      <c r="A1" s="26" t="s">
        <v>0</v>
      </c>
      <c r="B1" s="26" t="s">
        <v>1</v>
      </c>
      <c r="C1" s="26" t="s">
        <v>2</v>
      </c>
      <c r="D1" s="60" t="s">
        <v>75</v>
      </c>
      <c r="E1" s="60" t="s">
        <v>76</v>
      </c>
      <c r="F1" s="50" t="s">
        <v>74</v>
      </c>
      <c r="G1" s="26" t="s">
        <v>3</v>
      </c>
      <c r="H1" s="50" t="s">
        <v>66</v>
      </c>
      <c r="I1" s="50" t="s">
        <v>65</v>
      </c>
      <c r="J1" s="26" t="s">
        <v>4</v>
      </c>
      <c r="K1" s="27" t="s">
        <v>5</v>
      </c>
      <c r="L1" s="26" t="s">
        <v>6</v>
      </c>
      <c r="M1" s="26" t="s">
        <v>7</v>
      </c>
      <c r="N1" s="28" t="s">
        <v>8</v>
      </c>
      <c r="O1" s="59" t="s">
        <v>77</v>
      </c>
      <c r="P1" s="59" t="s">
        <v>78</v>
      </c>
      <c r="Q1" s="61" t="s">
        <v>79</v>
      </c>
      <c r="R1" s="51" t="s">
        <v>73</v>
      </c>
      <c r="S1" s="28" t="s">
        <v>9</v>
      </c>
      <c r="T1" s="51" t="s">
        <v>67</v>
      </c>
      <c r="U1" s="51" t="s">
        <v>68</v>
      </c>
      <c r="V1" s="28" t="s">
        <v>10</v>
      </c>
      <c r="W1" s="28" t="s">
        <v>11</v>
      </c>
      <c r="X1" s="28" t="s">
        <v>12</v>
      </c>
      <c r="Y1" s="28" t="s">
        <v>13</v>
      </c>
      <c r="Z1" s="28" t="s">
        <v>14</v>
      </c>
      <c r="AA1" s="26" t="s">
        <v>15</v>
      </c>
      <c r="AB1" s="26" t="s">
        <v>16</v>
      </c>
      <c r="AC1" s="65" t="s">
        <v>82</v>
      </c>
      <c r="AD1" s="64" t="s">
        <v>81</v>
      </c>
      <c r="AE1" s="22" t="s">
        <v>62</v>
      </c>
      <c r="AF1" s="19" t="s">
        <v>55</v>
      </c>
      <c r="AG1" s="17" t="s">
        <v>53</v>
      </c>
      <c r="AH1" s="14" t="s">
        <v>46</v>
      </c>
      <c r="AI1" s="67" t="s">
        <v>85</v>
      </c>
      <c r="AJ1" s="9" t="s">
        <v>42</v>
      </c>
      <c r="AK1" s="4" t="s">
        <v>35</v>
      </c>
      <c r="AL1" s="11" t="s">
        <v>38</v>
      </c>
      <c r="AM1" s="11" t="s">
        <v>39</v>
      </c>
      <c r="AN1" s="8" t="s">
        <v>40</v>
      </c>
    </row>
    <row r="2" spans="1:40" x14ac:dyDescent="0.25">
      <c r="A2" s="29" t="s">
        <v>21</v>
      </c>
      <c r="B2" s="29">
        <v>59</v>
      </c>
      <c r="C2" s="29">
        <v>31</v>
      </c>
      <c r="D2" s="29">
        <v>21</v>
      </c>
      <c r="E2" s="29">
        <v>35</v>
      </c>
      <c r="F2" s="29">
        <v>15</v>
      </c>
      <c r="G2" s="29">
        <v>29</v>
      </c>
      <c r="H2" s="29">
        <v>0</v>
      </c>
      <c r="I2" s="29">
        <v>0</v>
      </c>
      <c r="J2" s="29">
        <v>304</v>
      </c>
      <c r="K2" s="29">
        <v>21</v>
      </c>
      <c r="L2" s="29">
        <v>5829</v>
      </c>
      <c r="M2" s="29">
        <v>71</v>
      </c>
      <c r="N2" s="30">
        <f t="shared" ref="N2:N15" si="0">ROUND(IMDIV(B2,M2),2)</f>
        <v>0.83</v>
      </c>
      <c r="O2" s="52">
        <f>(D2/M2)</f>
        <v>0.29577464788732394</v>
      </c>
      <c r="P2" s="52">
        <f t="shared" ref="P2:P15" si="1">(E2/M2)*100</f>
        <v>49.295774647887328</v>
      </c>
      <c r="Q2" s="30">
        <f t="shared" ref="Q2:Q15" si="2">ROUND((D2/E2)*100,2)</f>
        <v>60</v>
      </c>
      <c r="R2" s="52">
        <f>F2/M2</f>
        <v>0.21126760563380281</v>
      </c>
      <c r="S2" s="30">
        <f t="shared" ref="S2:S15" si="3">ROUND(IMDIV(G2,M2),2)</f>
        <v>0.41</v>
      </c>
      <c r="T2" s="30">
        <f t="shared" ref="T2:T15" si="4">ROUND(IMDIV(H2,M2),2)</f>
        <v>0</v>
      </c>
      <c r="U2" s="30">
        <f>ROUND(IMDIV(I2,M2),2)</f>
        <v>0</v>
      </c>
      <c r="V2" s="30">
        <f t="shared" ref="V2:V15" si="5">ROUND(IMDIV(J2,M2),2)</f>
        <v>4.28</v>
      </c>
      <c r="W2" s="30">
        <f t="shared" ref="W2:W15" si="6">ROUND(IMDIV(K2,M2),2)</f>
        <v>0.3</v>
      </c>
      <c r="X2" s="30">
        <f t="shared" ref="X2:X15" si="7">ROUND(IMDIV(B2,G2),2)</f>
        <v>2.0299999999999998</v>
      </c>
      <c r="Y2" s="30">
        <f t="shared" ref="Y2:Y15" si="8">ROUND(IMDIV(C2,B2),4)*100</f>
        <v>52.54</v>
      </c>
      <c r="Z2" s="30">
        <f t="shared" ref="Z2:Z15" si="9">ROUND(IMDIV(L2,M2),2)</f>
        <v>82.1</v>
      </c>
      <c r="AA2" s="29" t="s">
        <v>51</v>
      </c>
      <c r="AB2" s="29" t="s">
        <v>28</v>
      </c>
      <c r="AC2" s="66">
        <f>(((N2-O2+1.25*O2)/2)+(R2/3)-(S2-0.2*T2+0.5*U2)+(Z2/250)+(W2/20))+1</f>
        <v>1.4557943661971833</v>
      </c>
      <c r="AD2" s="62">
        <f t="shared" ref="AD2:AD15" si="10">(((N2-O2+1.25*O2+R2)/2)+(1-(S2-0.25*T2+0.5*U2))+(Z2/200)+(W2/18))</f>
        <v>1.5747723004694834</v>
      </c>
      <c r="AE2" s="23">
        <f t="shared" ref="AE2:AE15" si="11">((N2/2)+(1-(S2-0.25*T2+0.5*U2))+(Z2/200)+(W2/18))</f>
        <v>1.4321666666666668</v>
      </c>
      <c r="AF2" s="20">
        <f t="shared" ref="AF2:AF15" si="12">(((N2/2)+(1-S2)+(Z2/200)+(W2/9)))/1.06</f>
        <v>1.3668238993710693</v>
      </c>
      <c r="AG2" s="18">
        <f t="shared" ref="AG2:AG15" si="13">((N2/2)+(1-S2)+(Z2/200)+(W2/9))</f>
        <v>1.4488333333333336</v>
      </c>
      <c r="AH2" s="15">
        <f t="shared" ref="AH2:AH15" si="14">((N2/2)+(1-S2)+(Z2/200))</f>
        <v>1.4155000000000002</v>
      </c>
      <c r="AI2" s="68">
        <f>(((N2-O2+1.25*O2)/2)+(R2/3)-(S2-0.2*T2+0.5*U2)+(Z2/250)+(W2/18))*10</f>
        <v>4.5746103286384985</v>
      </c>
      <c r="AJ2" s="10">
        <f>(((N2-N16)-(S2-S16)+((Z2-Z16)/100))/2)*10</f>
        <v>2.7576071428571423</v>
      </c>
      <c r="AK2" s="2">
        <f>(((N2-N16)-(S2-S16)+(Z2-Z16))/100)+1</f>
        <v>1.1201642857142857</v>
      </c>
      <c r="AL2" s="12">
        <f>((N2-N16)-(S2-S16)+((Z2-Z16)/100))*10</f>
        <v>5.5152142857142845</v>
      </c>
      <c r="AM2" s="12">
        <f>((N2-N16)-(S2-S16)+((Z2-Z16)/116))+1</f>
        <v>1.5355480295566502</v>
      </c>
      <c r="AN2" s="5">
        <f>(((N2-N16)-(S2-S16)+((Z2-Z16)/100))/2)+1</f>
        <v>1.2757607142857141</v>
      </c>
    </row>
    <row r="3" spans="1:40" x14ac:dyDescent="0.25">
      <c r="A3" s="29" t="s">
        <v>22</v>
      </c>
      <c r="B3" s="29">
        <v>44</v>
      </c>
      <c r="C3" s="29">
        <v>19</v>
      </c>
      <c r="D3" s="29">
        <v>22</v>
      </c>
      <c r="E3" s="29">
        <v>36</v>
      </c>
      <c r="F3" s="29">
        <v>8</v>
      </c>
      <c r="G3" s="29">
        <v>41</v>
      </c>
      <c r="H3" s="29">
        <v>5</v>
      </c>
      <c r="I3" s="29">
        <v>0</v>
      </c>
      <c r="J3" s="29">
        <v>180</v>
      </c>
      <c r="K3" s="29">
        <v>18</v>
      </c>
      <c r="L3" s="29">
        <v>5332</v>
      </c>
      <c r="M3" s="29">
        <v>71</v>
      </c>
      <c r="N3" s="30">
        <f t="shared" si="0"/>
        <v>0.62</v>
      </c>
      <c r="O3" s="52">
        <f t="shared" ref="O3:O15" si="15">(D3/M3)</f>
        <v>0.30985915492957744</v>
      </c>
      <c r="P3" s="52">
        <f t="shared" si="1"/>
        <v>50.704225352112672</v>
      </c>
      <c r="Q3" s="30">
        <f t="shared" si="2"/>
        <v>61.11</v>
      </c>
      <c r="R3" s="52">
        <f t="shared" ref="R3:R15" si="16">F3/M3</f>
        <v>0.11267605633802817</v>
      </c>
      <c r="S3" s="30">
        <f t="shared" si="3"/>
        <v>0.57999999999999996</v>
      </c>
      <c r="T3" s="30">
        <f t="shared" si="4"/>
        <v>7.0000000000000007E-2</v>
      </c>
      <c r="U3" s="30">
        <f t="shared" ref="U3:U15" si="17">ROUND(IMDIV(I3,M3),2)</f>
        <v>0</v>
      </c>
      <c r="V3" s="30">
        <f t="shared" si="5"/>
        <v>2.54</v>
      </c>
      <c r="W3" s="30">
        <f t="shared" si="6"/>
        <v>0.25</v>
      </c>
      <c r="X3" s="30">
        <f t="shared" si="7"/>
        <v>1.07</v>
      </c>
      <c r="Y3" s="30">
        <f t="shared" si="8"/>
        <v>43.18</v>
      </c>
      <c r="Z3" s="30">
        <f t="shared" si="9"/>
        <v>75.099999999999994</v>
      </c>
      <c r="AA3" s="29" t="s">
        <v>51</v>
      </c>
      <c r="AB3" s="29" t="s">
        <v>28</v>
      </c>
      <c r="AC3" s="66">
        <f t="shared" ref="AC3:AC15" si="18">(((N3-O3+1.25*O3)/2)+(R3/3)-(S3-0.2*T3+0.5*U3)+(Z3/250)+(W3/20))+1</f>
        <v>1.1331910798122067</v>
      </c>
      <c r="AD3" s="62">
        <f t="shared" si="10"/>
        <v>1.2319593114241001</v>
      </c>
      <c r="AE3" s="23">
        <f t="shared" si="11"/>
        <v>1.1368888888888888</v>
      </c>
      <c r="AF3" s="20">
        <f t="shared" si="12"/>
        <v>1.0691299790356392</v>
      </c>
      <c r="AG3" s="18">
        <f t="shared" si="13"/>
        <v>1.1332777777777776</v>
      </c>
      <c r="AH3" s="15">
        <f t="shared" si="14"/>
        <v>1.1054999999999999</v>
      </c>
      <c r="AI3" s="68">
        <f t="shared" ref="AI3:AI15" si="19">(((N3-O3+1.25*O3)/2)+(R3/3)-(S3-0.2*T3+0.5*U3)+(Z3/250)+(W3/18))*10</f>
        <v>1.3457996870109552</v>
      </c>
      <c r="AJ3" s="10">
        <f>(((N3-N16)-(S3-S16)+((Z3-Z16)/100))/2)*10</f>
        <v>0.50760714285714259</v>
      </c>
      <c r="AK3" s="2">
        <f>(((N3-N16)-(S3-S16)+(Z3-Z16))/100)+1</f>
        <v>1.0463642857142856</v>
      </c>
      <c r="AL3" s="12">
        <f>((N3-N16)-(S3-S16)+((Z3-Z16)/100))*10</f>
        <v>1.0152142857142852</v>
      </c>
      <c r="AM3" s="12">
        <f>((N3-N16)-(S3-S16)+((Z3-Z16)/116))+1</f>
        <v>1.0952032019704432</v>
      </c>
      <c r="AN3" s="5">
        <f>(((N3-N16)-(S3-S16)+((Z3-Z16)/100))/2)+1</f>
        <v>1.0507607142857143</v>
      </c>
    </row>
    <row r="4" spans="1:40" x14ac:dyDescent="0.25">
      <c r="A4" s="31" t="s">
        <v>27</v>
      </c>
      <c r="B4" s="31">
        <v>71</v>
      </c>
      <c r="C4" s="31">
        <v>32</v>
      </c>
      <c r="D4" s="31">
        <v>34</v>
      </c>
      <c r="E4" s="31">
        <v>57</v>
      </c>
      <c r="F4" s="31">
        <v>17</v>
      </c>
      <c r="G4" s="31">
        <v>47</v>
      </c>
      <c r="H4" s="31">
        <v>3</v>
      </c>
      <c r="I4" s="31">
        <v>0</v>
      </c>
      <c r="J4" s="31">
        <v>683</v>
      </c>
      <c r="K4" s="31">
        <v>21</v>
      </c>
      <c r="L4" s="31">
        <v>7905</v>
      </c>
      <c r="M4" s="31">
        <v>93</v>
      </c>
      <c r="N4" s="32">
        <f t="shared" si="0"/>
        <v>0.76</v>
      </c>
      <c r="O4" s="53">
        <f t="shared" si="15"/>
        <v>0.36559139784946237</v>
      </c>
      <c r="P4" s="53">
        <f t="shared" si="1"/>
        <v>61.29032258064516</v>
      </c>
      <c r="Q4" s="32">
        <f t="shared" si="2"/>
        <v>59.65</v>
      </c>
      <c r="R4" s="53">
        <f t="shared" si="16"/>
        <v>0.18279569892473119</v>
      </c>
      <c r="S4" s="32">
        <f t="shared" si="3"/>
        <v>0.51</v>
      </c>
      <c r="T4" s="32">
        <f t="shared" si="4"/>
        <v>0.03</v>
      </c>
      <c r="U4" s="32">
        <f t="shared" si="17"/>
        <v>0</v>
      </c>
      <c r="V4" s="32">
        <f t="shared" si="5"/>
        <v>7.34</v>
      </c>
      <c r="W4" s="32">
        <f t="shared" si="6"/>
        <v>0.23</v>
      </c>
      <c r="X4" s="32">
        <f t="shared" si="7"/>
        <v>1.51</v>
      </c>
      <c r="Y4" s="32">
        <f t="shared" si="8"/>
        <v>45.07</v>
      </c>
      <c r="Z4" s="32">
        <f t="shared" si="9"/>
        <v>85</v>
      </c>
      <c r="AA4" s="33" t="s">
        <v>51</v>
      </c>
      <c r="AB4" s="31" t="s">
        <v>28</v>
      </c>
      <c r="AC4" s="66">
        <f t="shared" si="18"/>
        <v>1.3341308243727599</v>
      </c>
      <c r="AD4" s="62">
        <f t="shared" si="10"/>
        <v>1.4523745519713263</v>
      </c>
      <c r="AE4" s="23">
        <f t="shared" si="11"/>
        <v>1.3152777777777778</v>
      </c>
      <c r="AF4" s="20">
        <f t="shared" si="12"/>
        <v>1.2458071278825995</v>
      </c>
      <c r="AG4" s="18">
        <f t="shared" si="13"/>
        <v>1.3205555555555555</v>
      </c>
      <c r="AH4" s="15">
        <f t="shared" si="14"/>
        <v>1.2949999999999999</v>
      </c>
      <c r="AI4" s="68">
        <f t="shared" si="19"/>
        <v>3.3540860215053767</v>
      </c>
      <c r="AJ4" s="10">
        <f>(((N4-N16)-(S4-S16)+((Z4-Z16)/100))/2)*10</f>
        <v>2.0526071428571426</v>
      </c>
      <c r="AK4" s="2">
        <f>(((N4-N16)-(S4-S16)+(Z4-Z16))/100)+1</f>
        <v>1.1474642857142858</v>
      </c>
      <c r="AL4" s="12">
        <f>((N4-N16)-(S4-S16)+((Z4-Z16)/100))*10</f>
        <v>4.1052142857142853</v>
      </c>
      <c r="AM4" s="12">
        <f>((N4-N16)-(S4-S16)+((Z4-Z16)/116))+1</f>
        <v>1.3905480295566501</v>
      </c>
      <c r="AN4" s="5">
        <f>(((N4-N16)-(S4-S16)+((Z4-Z16)/100))/2)+1</f>
        <v>1.2052607142857144</v>
      </c>
    </row>
    <row r="5" spans="1:40" x14ac:dyDescent="0.25">
      <c r="A5" s="31" t="s">
        <v>20</v>
      </c>
      <c r="B5" s="31">
        <v>54</v>
      </c>
      <c r="C5" s="31">
        <v>32</v>
      </c>
      <c r="D5" s="31">
        <v>22</v>
      </c>
      <c r="E5" s="31">
        <v>36</v>
      </c>
      <c r="F5" s="31">
        <v>8</v>
      </c>
      <c r="G5" s="31">
        <v>52</v>
      </c>
      <c r="H5" s="31">
        <v>4</v>
      </c>
      <c r="I5" s="31">
        <v>0</v>
      </c>
      <c r="J5" s="31">
        <v>312</v>
      </c>
      <c r="K5" s="31">
        <v>21</v>
      </c>
      <c r="L5" s="31">
        <v>5858</v>
      </c>
      <c r="M5" s="31">
        <v>93</v>
      </c>
      <c r="N5" s="32">
        <f t="shared" si="0"/>
        <v>0.57999999999999996</v>
      </c>
      <c r="O5" s="53">
        <f t="shared" si="15"/>
        <v>0.23655913978494625</v>
      </c>
      <c r="P5" s="53">
        <f t="shared" si="1"/>
        <v>38.70967741935484</v>
      </c>
      <c r="Q5" s="32">
        <f t="shared" si="2"/>
        <v>61.11</v>
      </c>
      <c r="R5" s="53">
        <f t="shared" si="16"/>
        <v>8.6021505376344093E-2</v>
      </c>
      <c r="S5" s="32">
        <f t="shared" si="3"/>
        <v>0.56000000000000005</v>
      </c>
      <c r="T5" s="32">
        <f t="shared" si="4"/>
        <v>0.04</v>
      </c>
      <c r="U5" s="32">
        <f t="shared" si="17"/>
        <v>0</v>
      </c>
      <c r="V5" s="32">
        <f t="shared" si="5"/>
        <v>3.35</v>
      </c>
      <c r="W5" s="32">
        <f t="shared" si="6"/>
        <v>0.23</v>
      </c>
      <c r="X5" s="32">
        <f t="shared" si="7"/>
        <v>1.04</v>
      </c>
      <c r="Y5" s="32">
        <f t="shared" si="8"/>
        <v>59.260000000000005</v>
      </c>
      <c r="Z5" s="32">
        <f t="shared" si="9"/>
        <v>62.99</v>
      </c>
      <c r="AA5" s="33" t="s">
        <v>51</v>
      </c>
      <c r="AB5" s="31" t="s">
        <v>28</v>
      </c>
      <c r="AC5" s="66">
        <f t="shared" si="18"/>
        <v>1.0597037275985663</v>
      </c>
      <c r="AD5" s="62">
        <f t="shared" si="10"/>
        <v>1.1403084229390681</v>
      </c>
      <c r="AE5" s="23">
        <f t="shared" si="11"/>
        <v>1.0677277777777778</v>
      </c>
      <c r="AF5" s="20">
        <f t="shared" si="12"/>
        <v>1.0099109014675052</v>
      </c>
      <c r="AG5" s="18">
        <f t="shared" si="13"/>
        <v>1.0705055555555556</v>
      </c>
      <c r="AH5" s="15">
        <f t="shared" si="14"/>
        <v>1.04495</v>
      </c>
      <c r="AI5" s="68">
        <f t="shared" si="19"/>
        <v>0.60981505376344058</v>
      </c>
      <c r="AJ5" s="10">
        <f>(((N5-N16)-(S5-S16)+((Z5-Z16)/100))/2)*10</f>
        <v>-0.19789285714285773</v>
      </c>
      <c r="AK5" s="2">
        <f>(((N5-N16)-(S5-S16)+(Z5-Z16))/100)+1</f>
        <v>0.92506428571428567</v>
      </c>
      <c r="AL5" s="12">
        <f>((N5-N16)-(S5-S16)+((Z5-Z16)/100))*10</f>
        <v>-0.39578571428571546</v>
      </c>
      <c r="AM5" s="12">
        <f>((N5-N16)-(S5-S16)+((Z5-Z16)/116))+1</f>
        <v>0.9708066502463053</v>
      </c>
      <c r="AN5" s="5">
        <f>(((N5-N16)-(S5-S16)+((Z5-Z16)/100))/2)+1</f>
        <v>0.98021071428571427</v>
      </c>
    </row>
    <row r="6" spans="1:40" x14ac:dyDescent="0.25">
      <c r="A6" s="34" t="s">
        <v>31</v>
      </c>
      <c r="B6" s="34">
        <v>54</v>
      </c>
      <c r="C6" s="34">
        <v>35</v>
      </c>
      <c r="D6" s="34">
        <v>17</v>
      </c>
      <c r="E6" s="34">
        <v>31</v>
      </c>
      <c r="F6" s="34">
        <v>17</v>
      </c>
      <c r="G6" s="34">
        <v>41</v>
      </c>
      <c r="H6" s="34">
        <v>2</v>
      </c>
      <c r="I6" s="34">
        <v>0</v>
      </c>
      <c r="J6" s="34">
        <v>384</v>
      </c>
      <c r="K6" s="34">
        <v>17</v>
      </c>
      <c r="L6" s="34">
        <v>6019</v>
      </c>
      <c r="M6" s="34">
        <v>73</v>
      </c>
      <c r="N6" s="35">
        <f t="shared" si="0"/>
        <v>0.74</v>
      </c>
      <c r="O6" s="54">
        <f t="shared" si="15"/>
        <v>0.23287671232876711</v>
      </c>
      <c r="P6" s="54">
        <f t="shared" si="1"/>
        <v>42.465753424657535</v>
      </c>
      <c r="Q6" s="35">
        <f t="shared" si="2"/>
        <v>54.84</v>
      </c>
      <c r="R6" s="54">
        <f t="shared" si="16"/>
        <v>0.23287671232876711</v>
      </c>
      <c r="S6" s="35">
        <f t="shared" si="3"/>
        <v>0.56000000000000005</v>
      </c>
      <c r="T6" s="35">
        <f t="shared" si="4"/>
        <v>0.03</v>
      </c>
      <c r="U6" s="35">
        <f t="shared" si="17"/>
        <v>0</v>
      </c>
      <c r="V6" s="35">
        <f t="shared" si="5"/>
        <v>5.26</v>
      </c>
      <c r="W6" s="35">
        <f t="shared" si="6"/>
        <v>0.23</v>
      </c>
      <c r="X6" s="35">
        <f t="shared" si="7"/>
        <v>1.32</v>
      </c>
      <c r="Y6" s="35">
        <f t="shared" si="8"/>
        <v>64.81</v>
      </c>
      <c r="Z6" s="35">
        <f t="shared" si="9"/>
        <v>82.45</v>
      </c>
      <c r="AA6" s="36" t="s">
        <v>51</v>
      </c>
      <c r="AB6" s="34" t="s">
        <v>28</v>
      </c>
      <c r="AC6" s="66">
        <f t="shared" si="18"/>
        <v>1.2640351598173516</v>
      </c>
      <c r="AD6" s="62">
        <f t="shared" si="10"/>
        <v>1.3880757229832572</v>
      </c>
      <c r="AE6" s="23">
        <f t="shared" si="11"/>
        <v>1.2425277777777777</v>
      </c>
      <c r="AF6" s="20">
        <f t="shared" si="12"/>
        <v>1.1771750524109013</v>
      </c>
      <c r="AG6" s="18">
        <f t="shared" si="13"/>
        <v>1.2478055555555554</v>
      </c>
      <c r="AH6" s="15">
        <f t="shared" si="14"/>
        <v>1.2222499999999998</v>
      </c>
      <c r="AI6" s="68">
        <f t="shared" si="19"/>
        <v>2.6531293759512931</v>
      </c>
      <c r="AJ6" s="10">
        <f>(((N6-N16)-(S6-S16)+((Z6-Z16)/100))/2)*10</f>
        <v>1.5751071428571426</v>
      </c>
      <c r="AK6" s="2">
        <f>(((N6-N16)-(S6-S16)+(Z6-Z16))/100)+1</f>
        <v>1.1212642857142858</v>
      </c>
      <c r="AL6" s="12">
        <f>((N6-N16)-(S6-S16)+((Z6-Z16)/100))*10</f>
        <v>3.1502142857142852</v>
      </c>
      <c r="AM6" s="12">
        <f>((N6-N16)-(S6-S16)+((Z6-Z16)/116))+1</f>
        <v>1.2985652709359605</v>
      </c>
      <c r="AN6" s="5">
        <f>(((N6-N16)-(S6-S16)+((Z6-Z16)/100))/2)+1</f>
        <v>1.1575107142857142</v>
      </c>
    </row>
    <row r="7" spans="1:40" x14ac:dyDescent="0.25">
      <c r="A7" s="34" t="s">
        <v>30</v>
      </c>
      <c r="B7" s="34">
        <v>50</v>
      </c>
      <c r="C7" s="34">
        <v>24</v>
      </c>
      <c r="D7" s="34">
        <v>23</v>
      </c>
      <c r="E7" s="34">
        <v>42</v>
      </c>
      <c r="F7" s="34">
        <v>14</v>
      </c>
      <c r="G7" s="34">
        <v>38</v>
      </c>
      <c r="H7" s="34">
        <v>4</v>
      </c>
      <c r="I7" s="34">
        <v>0</v>
      </c>
      <c r="J7" s="34">
        <v>152</v>
      </c>
      <c r="K7" s="34">
        <v>16</v>
      </c>
      <c r="L7" s="34">
        <v>5922</v>
      </c>
      <c r="M7" s="34">
        <v>73</v>
      </c>
      <c r="N7" s="35">
        <f t="shared" si="0"/>
        <v>0.68</v>
      </c>
      <c r="O7" s="54">
        <f t="shared" si="15"/>
        <v>0.31506849315068491</v>
      </c>
      <c r="P7" s="54">
        <f t="shared" si="1"/>
        <v>57.534246575342465</v>
      </c>
      <c r="Q7" s="35">
        <f t="shared" si="2"/>
        <v>54.76</v>
      </c>
      <c r="R7" s="54">
        <f t="shared" si="16"/>
        <v>0.19178082191780821</v>
      </c>
      <c r="S7" s="35">
        <f t="shared" si="3"/>
        <v>0.52</v>
      </c>
      <c r="T7" s="35">
        <f t="shared" si="4"/>
        <v>0.05</v>
      </c>
      <c r="U7" s="35">
        <f t="shared" si="17"/>
        <v>0</v>
      </c>
      <c r="V7" s="35">
        <f t="shared" si="5"/>
        <v>2.08</v>
      </c>
      <c r="W7" s="35">
        <f t="shared" si="6"/>
        <v>0.22</v>
      </c>
      <c r="X7" s="35">
        <f t="shared" si="7"/>
        <v>1.32</v>
      </c>
      <c r="Y7" s="35">
        <f t="shared" si="8"/>
        <v>48</v>
      </c>
      <c r="Z7" s="35">
        <f t="shared" si="9"/>
        <v>81.12</v>
      </c>
      <c r="AA7" s="36" t="s">
        <v>51</v>
      </c>
      <c r="AB7" s="34" t="s">
        <v>28</v>
      </c>
      <c r="AC7" s="66">
        <f t="shared" si="18"/>
        <v>1.268790502283105</v>
      </c>
      <c r="AD7" s="62">
        <f t="shared" si="10"/>
        <v>1.3855961948249618</v>
      </c>
      <c r="AE7" s="23">
        <f t="shared" si="11"/>
        <v>1.2503222222222221</v>
      </c>
      <c r="AF7" s="20">
        <f t="shared" si="12"/>
        <v>1.1792872117400419</v>
      </c>
      <c r="AG7" s="18">
        <f t="shared" si="13"/>
        <v>1.2500444444444445</v>
      </c>
      <c r="AH7" s="15">
        <f t="shared" si="14"/>
        <v>1.2256</v>
      </c>
      <c r="AI7" s="68">
        <f t="shared" si="19"/>
        <v>2.7001272450532725</v>
      </c>
      <c r="AJ7" s="10">
        <f>(((N7-N16)-(S7-S16)+((Z7-Z16)/100))/2)*10</f>
        <v>1.4086071428571432</v>
      </c>
      <c r="AK7" s="2">
        <f>(((N7-N16)-(S7-S16)+(Z7-Z16))/100)+1</f>
        <v>1.1077642857142858</v>
      </c>
      <c r="AL7" s="12">
        <f>((N7-N16)-(S7-S16)+((Z7-Z16)/100))*10</f>
        <v>2.8172142857142863</v>
      </c>
      <c r="AM7" s="12">
        <f>((N7-N16)-(S7-S16)+((Z7-Z16)/116))+1</f>
        <v>1.2670997536945814</v>
      </c>
      <c r="AN7" s="5">
        <f>(((N7-N16)-(S7-S16)+((Z7-Z16)/100))/2)+1</f>
        <v>1.1408607142857143</v>
      </c>
    </row>
    <row r="8" spans="1:40" x14ac:dyDescent="0.25">
      <c r="A8" s="37" t="s">
        <v>26</v>
      </c>
      <c r="B8" s="37">
        <v>63</v>
      </c>
      <c r="C8" s="37">
        <v>18</v>
      </c>
      <c r="D8" s="37">
        <v>22</v>
      </c>
      <c r="E8" s="37">
        <v>43</v>
      </c>
      <c r="F8" s="37">
        <v>17</v>
      </c>
      <c r="G8" s="37">
        <v>44</v>
      </c>
      <c r="H8" s="37">
        <v>2</v>
      </c>
      <c r="I8" s="37">
        <v>0</v>
      </c>
      <c r="J8" s="37">
        <v>176</v>
      </c>
      <c r="K8" s="37">
        <v>4</v>
      </c>
      <c r="L8" s="37">
        <v>6748</v>
      </c>
      <c r="M8" s="37">
        <v>86</v>
      </c>
      <c r="N8" s="38">
        <f t="shared" si="0"/>
        <v>0.73</v>
      </c>
      <c r="O8" s="55">
        <f t="shared" si="15"/>
        <v>0.2558139534883721</v>
      </c>
      <c r="P8" s="55">
        <f t="shared" si="1"/>
        <v>50</v>
      </c>
      <c r="Q8" s="38">
        <f t="shared" si="2"/>
        <v>51.16</v>
      </c>
      <c r="R8" s="55">
        <f t="shared" si="16"/>
        <v>0.19767441860465115</v>
      </c>
      <c r="S8" s="38">
        <f t="shared" si="3"/>
        <v>0.51</v>
      </c>
      <c r="T8" s="38">
        <f t="shared" si="4"/>
        <v>0.02</v>
      </c>
      <c r="U8" s="38">
        <f t="shared" si="17"/>
        <v>0</v>
      </c>
      <c r="V8" s="38">
        <f t="shared" si="5"/>
        <v>2.0499999999999998</v>
      </c>
      <c r="W8" s="38">
        <f t="shared" si="6"/>
        <v>0.05</v>
      </c>
      <c r="X8" s="38">
        <f t="shared" si="7"/>
        <v>1.43</v>
      </c>
      <c r="Y8" s="38">
        <f t="shared" si="8"/>
        <v>28.57</v>
      </c>
      <c r="Z8" s="38">
        <f t="shared" si="9"/>
        <v>78.47</v>
      </c>
      <c r="AA8" s="39" t="s">
        <v>51</v>
      </c>
      <c r="AB8" s="37" t="s">
        <v>28</v>
      </c>
      <c r="AC8" s="66">
        <f t="shared" si="18"/>
        <v>1.2732482170542636</v>
      </c>
      <c r="AD8" s="62">
        <f t="shared" si="10"/>
        <v>1.3859417312661497</v>
      </c>
      <c r="AE8" s="23">
        <f t="shared" si="11"/>
        <v>1.2551277777777776</v>
      </c>
      <c r="AF8" s="20">
        <f t="shared" si="12"/>
        <v>1.1819863731656184</v>
      </c>
      <c r="AG8" s="18">
        <f t="shared" si="13"/>
        <v>1.2529055555555555</v>
      </c>
      <c r="AH8" s="15">
        <f t="shared" si="14"/>
        <v>1.24735</v>
      </c>
      <c r="AI8" s="68">
        <f t="shared" si="19"/>
        <v>2.7352599483204134</v>
      </c>
      <c r="AJ8" s="10">
        <f>(((N8-N16)-(S8-S16)+((Z8-Z16)/100))/2)*10</f>
        <v>1.5761071428571425</v>
      </c>
      <c r="AK8" s="2">
        <f>(((N8-N16)-(S8-S16)+(Z8-Z16))/100)+1</f>
        <v>1.0818642857142857</v>
      </c>
      <c r="AL8" s="12">
        <f>((N8-N16)-(S8-S16)+((Z8-Z16)/100))*10</f>
        <v>3.152214285714285</v>
      </c>
      <c r="AM8" s="12">
        <f>((N8-N16)-(S8-S16)+((Z8-Z16)/116))+1</f>
        <v>1.3042549261083742</v>
      </c>
      <c r="AN8" s="5">
        <f>(((N8-N16)-(S8-S16)+((Z8-Z16)/100))/2)+1</f>
        <v>1.1576107142857142</v>
      </c>
    </row>
    <row r="9" spans="1:40" x14ac:dyDescent="0.25">
      <c r="A9" s="37" t="s">
        <v>19</v>
      </c>
      <c r="B9" s="37">
        <v>51</v>
      </c>
      <c r="C9" s="37">
        <v>27</v>
      </c>
      <c r="D9" s="37">
        <v>25</v>
      </c>
      <c r="E9" s="37">
        <v>43</v>
      </c>
      <c r="F9" s="37">
        <v>12</v>
      </c>
      <c r="G9" s="37">
        <v>54</v>
      </c>
      <c r="H9" s="37">
        <v>9</v>
      </c>
      <c r="I9" s="37">
        <v>0</v>
      </c>
      <c r="J9" s="37">
        <v>67</v>
      </c>
      <c r="K9" s="37">
        <v>8</v>
      </c>
      <c r="L9" s="37">
        <v>6118</v>
      </c>
      <c r="M9" s="37">
        <v>86</v>
      </c>
      <c r="N9" s="38">
        <f t="shared" si="0"/>
        <v>0.59</v>
      </c>
      <c r="O9" s="55">
        <f t="shared" si="15"/>
        <v>0.29069767441860467</v>
      </c>
      <c r="P9" s="55">
        <f t="shared" si="1"/>
        <v>50</v>
      </c>
      <c r="Q9" s="38">
        <f t="shared" si="2"/>
        <v>58.14</v>
      </c>
      <c r="R9" s="55">
        <f t="shared" si="16"/>
        <v>0.13953488372093023</v>
      </c>
      <c r="S9" s="38">
        <f t="shared" si="3"/>
        <v>0.63</v>
      </c>
      <c r="T9" s="38">
        <f t="shared" si="4"/>
        <v>0.1</v>
      </c>
      <c r="U9" s="38">
        <f t="shared" si="17"/>
        <v>0</v>
      </c>
      <c r="V9" s="38">
        <f t="shared" si="5"/>
        <v>0.78</v>
      </c>
      <c r="W9" s="38">
        <f t="shared" si="6"/>
        <v>0.09</v>
      </c>
      <c r="X9" s="38">
        <f t="shared" si="7"/>
        <v>0.94</v>
      </c>
      <c r="Y9" s="38">
        <f t="shared" si="8"/>
        <v>52.94</v>
      </c>
      <c r="Z9" s="38">
        <f t="shared" si="9"/>
        <v>71.14</v>
      </c>
      <c r="AA9" s="40" t="s">
        <v>51</v>
      </c>
      <c r="AB9" s="37" t="s">
        <v>28</v>
      </c>
      <c r="AC9" s="66">
        <f t="shared" si="18"/>
        <v>1.0569088372093023</v>
      </c>
      <c r="AD9" s="62">
        <f t="shared" si="10"/>
        <v>1.1568046511627905</v>
      </c>
      <c r="AE9" s="23">
        <f t="shared" si="11"/>
        <v>1.0507</v>
      </c>
      <c r="AF9" s="20">
        <f t="shared" si="12"/>
        <v>0.97235849056603785</v>
      </c>
      <c r="AG9" s="18">
        <f t="shared" si="13"/>
        <v>1.0307000000000002</v>
      </c>
      <c r="AH9" s="15">
        <f t="shared" si="14"/>
        <v>1.0207000000000002</v>
      </c>
      <c r="AI9" s="68">
        <f t="shared" si="19"/>
        <v>0.57408837209302277</v>
      </c>
      <c r="AJ9" s="10">
        <f>(((N9-N16)-(S9-S16)+((Z9-Z16)/100))/2)*10</f>
        <v>-9.0392857142857497E-2</v>
      </c>
      <c r="AK9" s="2">
        <f>(((N9-N16)-(S9-S16)+(Z9-Z16))/100)+1</f>
        <v>1.0059642857142856</v>
      </c>
      <c r="AL9" s="12">
        <f>((N9-N16)-(S9-S16)+((Z9-Z16)/100))*10</f>
        <v>-0.18078571428571499</v>
      </c>
      <c r="AM9" s="12">
        <f>((N9-N16)-(S9-S16)+((Z9-Z16)/116))+1</f>
        <v>0.98106527093596052</v>
      </c>
      <c r="AN9" s="5">
        <f>(((N9-N16)-(S9-S16)+((Z9-Z16)/100))/2)+1</f>
        <v>0.99096071428571419</v>
      </c>
    </row>
    <row r="10" spans="1:40" x14ac:dyDescent="0.25">
      <c r="A10" s="41" t="s">
        <v>17</v>
      </c>
      <c r="B10" s="41">
        <v>57</v>
      </c>
      <c r="C10" s="41">
        <v>27</v>
      </c>
      <c r="D10" s="41">
        <v>21</v>
      </c>
      <c r="E10" s="41">
        <v>40</v>
      </c>
      <c r="F10" s="41">
        <v>12</v>
      </c>
      <c r="G10" s="41">
        <v>47</v>
      </c>
      <c r="H10" s="41">
        <v>4</v>
      </c>
      <c r="I10" s="41">
        <v>0</v>
      </c>
      <c r="J10" s="41">
        <v>159</v>
      </c>
      <c r="K10" s="41">
        <v>10</v>
      </c>
      <c r="L10" s="41">
        <v>6268</v>
      </c>
      <c r="M10" s="41">
        <v>78</v>
      </c>
      <c r="N10" s="42">
        <f t="shared" si="0"/>
        <v>0.73</v>
      </c>
      <c r="O10" s="56">
        <f t="shared" si="15"/>
        <v>0.26923076923076922</v>
      </c>
      <c r="P10" s="56">
        <f t="shared" si="1"/>
        <v>51.282051282051277</v>
      </c>
      <c r="Q10" s="42">
        <f t="shared" si="2"/>
        <v>52.5</v>
      </c>
      <c r="R10" s="56">
        <f t="shared" si="16"/>
        <v>0.15384615384615385</v>
      </c>
      <c r="S10" s="42">
        <f t="shared" si="3"/>
        <v>0.6</v>
      </c>
      <c r="T10" s="42">
        <f t="shared" si="4"/>
        <v>0.05</v>
      </c>
      <c r="U10" s="42">
        <f t="shared" si="17"/>
        <v>0</v>
      </c>
      <c r="V10" s="42">
        <f t="shared" si="5"/>
        <v>2.04</v>
      </c>
      <c r="W10" s="42">
        <f t="shared" si="6"/>
        <v>0.13</v>
      </c>
      <c r="X10" s="42">
        <f t="shared" si="7"/>
        <v>1.21</v>
      </c>
      <c r="Y10" s="42">
        <f t="shared" si="8"/>
        <v>47.370000000000005</v>
      </c>
      <c r="Z10" s="42">
        <f t="shared" si="9"/>
        <v>80.36</v>
      </c>
      <c r="AA10" s="41" t="s">
        <v>52</v>
      </c>
      <c r="AB10" s="41" t="s">
        <v>28</v>
      </c>
      <c r="AC10" s="66">
        <f t="shared" si="18"/>
        <v>1.1878758974358974</v>
      </c>
      <c r="AD10" s="62">
        <f t="shared" si="10"/>
        <v>1.2970991452991452</v>
      </c>
      <c r="AE10" s="23">
        <f t="shared" si="11"/>
        <v>1.1865222222222223</v>
      </c>
      <c r="AF10" s="20">
        <f t="shared" si="12"/>
        <v>1.1143815513626836</v>
      </c>
      <c r="AG10" s="18">
        <f t="shared" si="13"/>
        <v>1.1812444444444445</v>
      </c>
      <c r="AH10" s="15">
        <f t="shared" si="14"/>
        <v>1.1668000000000001</v>
      </c>
      <c r="AI10" s="68">
        <f t="shared" si="19"/>
        <v>1.8859811965811966</v>
      </c>
      <c r="AJ10" s="10">
        <f>(((N10-N16)-(S10-S16)+((Z10-Z16)/100))/2)*10</f>
        <v>1.2206071428571428</v>
      </c>
      <c r="AK10" s="2">
        <f>(((N10-N16)-(S10-S16)+(Z10-Z16))/100)+1</f>
        <v>1.0998642857142857</v>
      </c>
      <c r="AL10" s="12">
        <f>((N10-N16)-(S10-S16)+((Z10-Z16)/100))*10</f>
        <v>2.4412142857142856</v>
      </c>
      <c r="AM10" s="12">
        <f>((N10-N16)-(S10-S16)+((Z10-Z16)/116))+1</f>
        <v>1.2305480295566502</v>
      </c>
      <c r="AN10" s="5">
        <f>(((N10-N16)-(S10-S16)+((Z10-Z16)/100))/2)+1</f>
        <v>1.1220607142857142</v>
      </c>
    </row>
    <row r="11" spans="1:40" x14ac:dyDescent="0.25">
      <c r="A11" s="41" t="s">
        <v>18</v>
      </c>
      <c r="B11" s="41">
        <v>43</v>
      </c>
      <c r="C11" s="41">
        <v>20</v>
      </c>
      <c r="D11" s="41">
        <v>14</v>
      </c>
      <c r="E11" s="41">
        <v>38</v>
      </c>
      <c r="F11" s="41">
        <v>7</v>
      </c>
      <c r="G11" s="41">
        <v>51</v>
      </c>
      <c r="H11" s="41">
        <v>6</v>
      </c>
      <c r="I11" s="41">
        <v>0</v>
      </c>
      <c r="J11" s="41">
        <v>115</v>
      </c>
      <c r="K11" s="41">
        <v>15</v>
      </c>
      <c r="L11" s="41">
        <v>4982</v>
      </c>
      <c r="M11" s="41">
        <v>78</v>
      </c>
      <c r="N11" s="42">
        <f t="shared" si="0"/>
        <v>0.55000000000000004</v>
      </c>
      <c r="O11" s="56">
        <f t="shared" si="15"/>
        <v>0.17948717948717949</v>
      </c>
      <c r="P11" s="56">
        <f t="shared" si="1"/>
        <v>48.717948717948715</v>
      </c>
      <c r="Q11" s="42">
        <f t="shared" si="2"/>
        <v>36.840000000000003</v>
      </c>
      <c r="R11" s="56">
        <f t="shared" si="16"/>
        <v>8.9743589743589744E-2</v>
      </c>
      <c r="S11" s="42">
        <f t="shared" si="3"/>
        <v>0.65</v>
      </c>
      <c r="T11" s="42">
        <f t="shared" si="4"/>
        <v>0.08</v>
      </c>
      <c r="U11" s="42">
        <f t="shared" si="17"/>
        <v>0</v>
      </c>
      <c r="V11" s="42">
        <f t="shared" si="5"/>
        <v>1.47</v>
      </c>
      <c r="W11" s="42">
        <f t="shared" si="6"/>
        <v>0.19</v>
      </c>
      <c r="X11" s="42">
        <f t="shared" si="7"/>
        <v>0.84</v>
      </c>
      <c r="Y11" s="42">
        <f t="shared" si="8"/>
        <v>46.51</v>
      </c>
      <c r="Z11" s="42">
        <f t="shared" si="9"/>
        <v>63.87</v>
      </c>
      <c r="AA11" s="41" t="s">
        <v>52</v>
      </c>
      <c r="AB11" s="41" t="s">
        <v>28</v>
      </c>
      <c r="AC11" s="66">
        <f t="shared" si="18"/>
        <v>0.95833042735042728</v>
      </c>
      <c r="AD11" s="62">
        <f t="shared" si="10"/>
        <v>1.042213247863248</v>
      </c>
      <c r="AE11" s="23">
        <f t="shared" si="11"/>
        <v>0.97490555555555558</v>
      </c>
      <c r="AF11" s="20">
        <f t="shared" si="12"/>
        <v>0.91081236897274631</v>
      </c>
      <c r="AG11" s="18">
        <f t="shared" si="13"/>
        <v>0.9654611111111111</v>
      </c>
      <c r="AH11" s="15">
        <f t="shared" si="14"/>
        <v>0.94435000000000002</v>
      </c>
      <c r="AI11" s="68">
        <f t="shared" si="19"/>
        <v>-0.40614017094017119</v>
      </c>
      <c r="AJ11" s="10">
        <f>(((N11-N16)-(S11-S16)+((Z11-Z16)/100))/2)*10</f>
        <v>-0.75389285714285736</v>
      </c>
      <c r="AK11" s="2">
        <f>(((N11-N16)-(S11-S16)+(Z11-Z16))/100)+1</f>
        <v>0.93266428571428572</v>
      </c>
      <c r="AL11" s="12">
        <f>((N11-N16)-(S11-S16)+((Z11-Z16)/100))*10</f>
        <v>-1.5077857142857147</v>
      </c>
      <c r="AM11" s="12">
        <f>((N11-N16)-(S11-S16)+((Z11-Z16)/116))+1</f>
        <v>0.85839285714285707</v>
      </c>
      <c r="AN11" s="5">
        <f>(((N11-N16)-(S11-S16)+((Z11-Z16)/100))/2)+1</f>
        <v>0.92461071428571429</v>
      </c>
    </row>
    <row r="12" spans="1:40" ht="15" customHeight="1" x14ac:dyDescent="0.25">
      <c r="A12" s="43" t="s">
        <v>23</v>
      </c>
      <c r="B12" s="44">
        <v>56</v>
      </c>
      <c r="C12" s="44">
        <v>38</v>
      </c>
      <c r="D12" s="44">
        <v>31</v>
      </c>
      <c r="E12" s="44">
        <v>56</v>
      </c>
      <c r="F12" s="44">
        <v>16</v>
      </c>
      <c r="G12" s="44">
        <v>50</v>
      </c>
      <c r="H12" s="44">
        <v>2</v>
      </c>
      <c r="I12" s="44">
        <v>0</v>
      </c>
      <c r="J12" s="44">
        <v>400</v>
      </c>
      <c r="K12" s="44">
        <v>29</v>
      </c>
      <c r="L12" s="44">
        <v>6996</v>
      </c>
      <c r="M12" s="44">
        <v>73</v>
      </c>
      <c r="N12" s="45">
        <f t="shared" si="0"/>
        <v>0.77</v>
      </c>
      <c r="O12" s="57">
        <f t="shared" si="15"/>
        <v>0.42465753424657532</v>
      </c>
      <c r="P12" s="57">
        <f t="shared" si="1"/>
        <v>76.712328767123282</v>
      </c>
      <c r="Q12" s="45">
        <f t="shared" si="2"/>
        <v>55.36</v>
      </c>
      <c r="R12" s="57">
        <f t="shared" si="16"/>
        <v>0.21917808219178081</v>
      </c>
      <c r="S12" s="45">
        <f t="shared" si="3"/>
        <v>0.68</v>
      </c>
      <c r="T12" s="45">
        <f t="shared" si="4"/>
        <v>0.03</v>
      </c>
      <c r="U12" s="45">
        <f t="shared" si="17"/>
        <v>0</v>
      </c>
      <c r="V12" s="45">
        <f t="shared" si="5"/>
        <v>5.48</v>
      </c>
      <c r="W12" s="45">
        <f t="shared" si="6"/>
        <v>0.4</v>
      </c>
      <c r="X12" s="45">
        <f t="shared" si="7"/>
        <v>1.1200000000000001</v>
      </c>
      <c r="Y12" s="45">
        <f t="shared" si="8"/>
        <v>67.86</v>
      </c>
      <c r="Z12" s="45">
        <f t="shared" si="9"/>
        <v>95.84</v>
      </c>
      <c r="AA12" s="46" t="s">
        <v>44</v>
      </c>
      <c r="AB12" s="43" t="s">
        <v>28</v>
      </c>
      <c r="AC12" s="66">
        <f t="shared" si="18"/>
        <v>1.2405015525114156</v>
      </c>
      <c r="AD12" s="62">
        <f t="shared" si="10"/>
        <v>1.3765934550989345</v>
      </c>
      <c r="AE12" s="23">
        <f t="shared" si="11"/>
        <v>1.2139222222222221</v>
      </c>
      <c r="AF12" s="20">
        <f t="shared" si="12"/>
        <v>1.1590985324947589</v>
      </c>
      <c r="AG12" s="18">
        <f t="shared" si="13"/>
        <v>1.2286444444444444</v>
      </c>
      <c r="AH12" s="15">
        <f t="shared" si="14"/>
        <v>1.1841999999999999</v>
      </c>
      <c r="AI12" s="68">
        <f t="shared" si="19"/>
        <v>2.427237747336378</v>
      </c>
      <c r="AJ12" s="10">
        <f>(((N12-N16)-(S12-S16)+((Z12-Z16)/100))/2)*10</f>
        <v>1.7946071428571428</v>
      </c>
      <c r="AK12" s="2">
        <f>(((N12-N16)-(S12-S16)+(Z12-Z16))/100)+1</f>
        <v>1.2542642857142856</v>
      </c>
      <c r="AL12" s="12">
        <f>((N12-N16)-(S12-S16)+((Z12-Z16)/100))*10</f>
        <v>3.5892142857142857</v>
      </c>
      <c r="AM12" s="12">
        <f>((N12-N16)-(S12-S16)+((Z12-Z16)/116))+1</f>
        <v>1.3239963054187192</v>
      </c>
      <c r="AN12" s="5">
        <f>(((N12-N16)-(S12-S16)+((Z12-Z16)/100))/2)+1</f>
        <v>1.1794607142857143</v>
      </c>
    </row>
    <row r="13" spans="1:40" ht="15" customHeight="1" x14ac:dyDescent="0.25">
      <c r="A13" s="43" t="s">
        <v>24</v>
      </c>
      <c r="B13" s="44">
        <v>18</v>
      </c>
      <c r="C13" s="44">
        <v>9</v>
      </c>
      <c r="D13" s="44">
        <v>5</v>
      </c>
      <c r="E13" s="44">
        <v>17</v>
      </c>
      <c r="F13" s="44">
        <v>1</v>
      </c>
      <c r="G13" s="44">
        <v>53</v>
      </c>
      <c r="H13" s="44">
        <v>1</v>
      </c>
      <c r="I13" s="44">
        <v>0</v>
      </c>
      <c r="J13" s="44">
        <v>111</v>
      </c>
      <c r="K13" s="44">
        <v>16</v>
      </c>
      <c r="L13" s="44">
        <v>2380</v>
      </c>
      <c r="M13" s="44">
        <v>73</v>
      </c>
      <c r="N13" s="45">
        <f t="shared" si="0"/>
        <v>0.25</v>
      </c>
      <c r="O13" s="57">
        <f t="shared" si="15"/>
        <v>6.8493150684931503E-2</v>
      </c>
      <c r="P13" s="57">
        <f t="shared" si="1"/>
        <v>23.287671232876711</v>
      </c>
      <c r="Q13" s="45">
        <f t="shared" si="2"/>
        <v>29.41</v>
      </c>
      <c r="R13" s="57">
        <f t="shared" si="16"/>
        <v>1.3698630136986301E-2</v>
      </c>
      <c r="S13" s="45">
        <f t="shared" si="3"/>
        <v>0.73</v>
      </c>
      <c r="T13" s="45">
        <f t="shared" si="4"/>
        <v>0.01</v>
      </c>
      <c r="U13" s="45">
        <f t="shared" si="17"/>
        <v>0</v>
      </c>
      <c r="V13" s="45">
        <f t="shared" si="5"/>
        <v>1.52</v>
      </c>
      <c r="W13" s="45">
        <f t="shared" si="6"/>
        <v>0.22</v>
      </c>
      <c r="X13" s="45">
        <f t="shared" si="7"/>
        <v>0.34</v>
      </c>
      <c r="Y13" s="45">
        <f t="shared" si="8"/>
        <v>50</v>
      </c>
      <c r="Z13" s="45">
        <f t="shared" si="9"/>
        <v>32.6</v>
      </c>
      <c r="AA13" s="46" t="s">
        <v>44</v>
      </c>
      <c r="AB13" s="43" t="s">
        <v>28</v>
      </c>
      <c r="AC13" s="66">
        <f t="shared" si="18"/>
        <v>0.55152785388127867</v>
      </c>
      <c r="AD13" s="62">
        <f t="shared" si="10"/>
        <v>0.58813318112633184</v>
      </c>
      <c r="AE13" s="23">
        <f t="shared" si="11"/>
        <v>0.57272222222222224</v>
      </c>
      <c r="AF13" s="20">
        <f t="shared" si="12"/>
        <v>0.54947589098532501</v>
      </c>
      <c r="AG13" s="18">
        <f t="shared" si="13"/>
        <v>0.58244444444444454</v>
      </c>
      <c r="AH13" s="15">
        <f t="shared" si="14"/>
        <v>0.55800000000000005</v>
      </c>
      <c r="AI13" s="68">
        <f t="shared" si="19"/>
        <v>-4.4724992389649918</v>
      </c>
      <c r="AJ13" s="10">
        <f>(((N13-N16)-(S13-S16)+((Z13-Z16)/100))/2)*10</f>
        <v>-4.2173928571428574</v>
      </c>
      <c r="AK13" s="2">
        <f>(((N13-N16)-(S13-S16)+(Z13-Z16))/100)+1</f>
        <v>0.61616428571428572</v>
      </c>
      <c r="AL13" s="12">
        <f>((N13-N16)-(S13-S16)+((Z13-Z16)/100))*10</f>
        <v>-8.4347857142857148</v>
      </c>
      <c r="AM13" s="12">
        <f>((N13-N16)-(S13-S16)+((Z13-Z16)/116))+1</f>
        <v>0.20882389162561577</v>
      </c>
      <c r="AN13" s="5">
        <f>(((N13-N16)-(S13-S16)+((Z13-Z16)/100))/2)+1</f>
        <v>0.57826071428571435</v>
      </c>
    </row>
    <row r="14" spans="1:40" ht="15" customHeight="1" x14ac:dyDescent="0.25">
      <c r="A14" s="47" t="s">
        <v>25</v>
      </c>
      <c r="B14" s="48">
        <v>17</v>
      </c>
      <c r="C14" s="48">
        <v>4</v>
      </c>
      <c r="D14" s="48">
        <v>8</v>
      </c>
      <c r="E14" s="48">
        <v>35</v>
      </c>
      <c r="F14" s="48">
        <v>3</v>
      </c>
      <c r="G14" s="48">
        <v>57</v>
      </c>
      <c r="H14" s="48">
        <v>1</v>
      </c>
      <c r="I14" s="48">
        <v>2</v>
      </c>
      <c r="J14" s="48">
        <v>110</v>
      </c>
      <c r="K14" s="48">
        <v>22</v>
      </c>
      <c r="L14" s="48">
        <v>3449</v>
      </c>
      <c r="M14" s="48">
        <v>66</v>
      </c>
      <c r="N14" s="47">
        <f t="shared" si="0"/>
        <v>0.26</v>
      </c>
      <c r="O14" s="58">
        <f t="shared" si="15"/>
        <v>0.12121212121212122</v>
      </c>
      <c r="P14" s="58">
        <f t="shared" si="1"/>
        <v>53.030303030303031</v>
      </c>
      <c r="Q14" s="47">
        <f t="shared" si="2"/>
        <v>22.86</v>
      </c>
      <c r="R14" s="58">
        <f t="shared" si="16"/>
        <v>4.5454545454545456E-2</v>
      </c>
      <c r="S14" s="47">
        <f t="shared" si="3"/>
        <v>0.86</v>
      </c>
      <c r="T14" s="47">
        <f t="shared" si="4"/>
        <v>0.02</v>
      </c>
      <c r="U14" s="47">
        <f t="shared" si="17"/>
        <v>0.03</v>
      </c>
      <c r="V14" s="47">
        <f t="shared" si="5"/>
        <v>1.67</v>
      </c>
      <c r="W14" s="47">
        <f t="shared" si="6"/>
        <v>0.33</v>
      </c>
      <c r="X14" s="47">
        <f t="shared" si="7"/>
        <v>0.3</v>
      </c>
      <c r="Y14" s="47">
        <f t="shared" si="8"/>
        <v>23.53</v>
      </c>
      <c r="Z14" s="47">
        <f t="shared" si="9"/>
        <v>52.26</v>
      </c>
      <c r="AA14" s="47" t="s">
        <v>45</v>
      </c>
      <c r="AB14" s="47" t="s">
        <v>28</v>
      </c>
      <c r="AC14" s="66">
        <f t="shared" si="18"/>
        <v>0.51484303030303025</v>
      </c>
      <c r="AD14" s="62">
        <f t="shared" si="10"/>
        <v>0.57751212121212114</v>
      </c>
      <c r="AE14" s="23">
        <f t="shared" si="11"/>
        <v>0.5396333333333333</v>
      </c>
      <c r="AF14" s="20">
        <f t="shared" si="12"/>
        <v>0.53581761006289297</v>
      </c>
      <c r="AG14" s="18">
        <f t="shared" si="13"/>
        <v>0.56796666666666662</v>
      </c>
      <c r="AH14" s="15">
        <f t="shared" si="14"/>
        <v>0.53129999999999999</v>
      </c>
      <c r="AI14" s="68">
        <f t="shared" si="19"/>
        <v>-4.833236363636364</v>
      </c>
      <c r="AJ14" s="10">
        <f>(((N14-N16)-(S14-S16)+((Z14-Z16)/100))/2)*10</f>
        <v>-3.8343928571428574</v>
      </c>
      <c r="AK14" s="2">
        <f>(((N14-N16)-(S14-S16)+(Z14-Z16))/100)+1</f>
        <v>0.81156428571428574</v>
      </c>
      <c r="AL14" s="12">
        <f>((N14-N16)-(S14-S16)+((Z14-Z16)/100))*10</f>
        <v>-7.6687857142857148</v>
      </c>
      <c r="AM14" s="12">
        <f>((N14-N16)-(S14-S16)+((Z14-Z16)/116))+1</f>
        <v>0.25830665024630539</v>
      </c>
      <c r="AN14" s="5">
        <f>(((N14-N16)-(S14-S16)+((Z14-Z16)/100))/2)+1</f>
        <v>0.61656071428571424</v>
      </c>
    </row>
    <row r="15" spans="1:40" ht="15" customHeight="1" x14ac:dyDescent="0.25">
      <c r="A15" s="47" t="s">
        <v>29</v>
      </c>
      <c r="B15" s="48">
        <v>23</v>
      </c>
      <c r="C15" s="48">
        <v>8</v>
      </c>
      <c r="D15" s="48">
        <v>5</v>
      </c>
      <c r="E15" s="48">
        <v>31</v>
      </c>
      <c r="F15" s="48">
        <v>4</v>
      </c>
      <c r="G15" s="48">
        <v>57</v>
      </c>
      <c r="H15" s="48">
        <v>1</v>
      </c>
      <c r="I15" s="48">
        <v>0</v>
      </c>
      <c r="J15" s="47">
        <v>8</v>
      </c>
      <c r="K15" s="48">
        <v>2</v>
      </c>
      <c r="L15" s="48">
        <v>2902</v>
      </c>
      <c r="M15" s="48">
        <v>66</v>
      </c>
      <c r="N15" s="47">
        <f t="shared" si="0"/>
        <v>0.35</v>
      </c>
      <c r="O15" s="58">
        <f t="shared" si="15"/>
        <v>7.575757575757576E-2</v>
      </c>
      <c r="P15" s="58">
        <f t="shared" si="1"/>
        <v>46.969696969696969</v>
      </c>
      <c r="Q15" s="47">
        <f t="shared" si="2"/>
        <v>16.13</v>
      </c>
      <c r="R15" s="58">
        <f t="shared" si="16"/>
        <v>6.0606060606060608E-2</v>
      </c>
      <c r="S15" s="47">
        <f t="shared" si="3"/>
        <v>0.86</v>
      </c>
      <c r="T15" s="47">
        <f t="shared" si="4"/>
        <v>0.02</v>
      </c>
      <c r="U15" s="47">
        <f t="shared" si="17"/>
        <v>0</v>
      </c>
      <c r="V15" s="47">
        <f t="shared" si="5"/>
        <v>0.12</v>
      </c>
      <c r="W15" s="47">
        <f t="shared" si="6"/>
        <v>0.03</v>
      </c>
      <c r="X15" s="47">
        <f t="shared" si="7"/>
        <v>0.4</v>
      </c>
      <c r="Y15" s="47">
        <f t="shared" si="8"/>
        <v>34.78</v>
      </c>
      <c r="Z15" s="47">
        <f t="shared" si="9"/>
        <v>43.97</v>
      </c>
      <c r="AA15" s="47" t="s">
        <v>45</v>
      </c>
      <c r="AB15" s="47" t="s">
        <v>28</v>
      </c>
      <c r="AC15" s="66">
        <f t="shared" si="18"/>
        <v>0.52605171717171717</v>
      </c>
      <c r="AD15" s="62">
        <f t="shared" si="10"/>
        <v>0.58128939393939394</v>
      </c>
      <c r="AE15" s="23">
        <f t="shared" si="11"/>
        <v>0.54151666666666665</v>
      </c>
      <c r="AF15" s="20">
        <f t="shared" si="12"/>
        <v>0.50772012578616355</v>
      </c>
      <c r="AG15" s="18">
        <f t="shared" si="13"/>
        <v>0.53818333333333335</v>
      </c>
      <c r="AH15" s="15">
        <f t="shared" si="14"/>
        <v>0.53485000000000005</v>
      </c>
      <c r="AI15" s="68">
        <f t="shared" si="19"/>
        <v>-4.7378161616161609</v>
      </c>
      <c r="AJ15" s="10">
        <f>(((N15-N16)-(S15-S16)+((Z15-Z16)/100))/2)*10</f>
        <v>-3.7988928571428571</v>
      </c>
      <c r="AK15" s="2">
        <f>(((N15-N16)-(S15-S16)+(Z15-Z16))/100)+1</f>
        <v>0.72956428571428567</v>
      </c>
      <c r="AL15" s="12">
        <f>((N15-N16)-(S15-S16)+((Z15-Z16)/100))*10</f>
        <v>-7.5977857142857141</v>
      </c>
      <c r="AM15" s="12">
        <f>((N15-N16)-(S15-S16)+((Z15-Z16)/116))+1</f>
        <v>0.27684113300492608</v>
      </c>
      <c r="AN15" s="5">
        <f>(((N15-N16)-(S15-S16)+((Z15-Z16)/100))/2)+1</f>
        <v>0.62011071428571429</v>
      </c>
    </row>
    <row r="16" spans="1:40" ht="15" customHeight="1" x14ac:dyDescent="0.25">
      <c r="A16" s="3" t="s">
        <v>32</v>
      </c>
      <c r="B16" s="1"/>
      <c r="C16" s="1"/>
      <c r="D16" s="49"/>
      <c r="E16" s="49"/>
      <c r="F16" s="49"/>
      <c r="G16" s="1"/>
      <c r="H16" s="49"/>
      <c r="I16" s="49"/>
      <c r="J16" s="1"/>
      <c r="K16" s="1"/>
      <c r="L16" s="1"/>
      <c r="M16" s="1" t="s">
        <v>33</v>
      </c>
      <c r="N16" s="1">
        <f t="shared" ref="N16:Z16" si="20">AVERAGE(N2:N15)</f>
        <v>0.60285714285714287</v>
      </c>
      <c r="O16" s="1">
        <f t="shared" ref="O16:R16" si="21">AVERAGE(O2:O15)</f>
        <v>0.2457913931754922</v>
      </c>
      <c r="P16" s="1">
        <f t="shared" si="21"/>
        <v>50</v>
      </c>
      <c r="Q16" s="1">
        <f t="shared" si="21"/>
        <v>48.133571428571429</v>
      </c>
      <c r="R16" s="1">
        <f t="shared" si="21"/>
        <v>0.13836819748744142</v>
      </c>
      <c r="S16" s="1">
        <f t="shared" si="20"/>
        <v>0.61857142857142855</v>
      </c>
      <c r="T16" s="49"/>
      <c r="U16" s="49"/>
      <c r="V16" s="1">
        <f t="shared" si="20"/>
        <v>2.8557142857142859</v>
      </c>
      <c r="W16" s="1">
        <f t="shared" si="20"/>
        <v>0.20714285714285713</v>
      </c>
      <c r="X16" s="1">
        <f t="shared" si="20"/>
        <v>1.0621428571428571</v>
      </c>
      <c r="Y16" s="1">
        <f t="shared" si="20"/>
        <v>47.458571428571425</v>
      </c>
      <c r="Z16" s="1">
        <f t="shared" si="20"/>
        <v>70.519285714285715</v>
      </c>
      <c r="AA16" s="1"/>
      <c r="AB16" s="1"/>
      <c r="AC16" s="66">
        <f t="shared" ref="AC16:AH16" si="22">AVERAGE(AC2:AC15)</f>
        <v>1.0589237994998932</v>
      </c>
      <c r="AD16" s="62">
        <f t="shared" si="22"/>
        <v>1.1556195308271653</v>
      </c>
      <c r="AE16" s="23">
        <f t="shared" si="22"/>
        <v>1.055711507936508</v>
      </c>
      <c r="AF16" s="20">
        <f t="shared" si="22"/>
        <v>0.99855607966457005</v>
      </c>
      <c r="AG16" s="18">
        <f t="shared" si="22"/>
        <v>1.0584694444444445</v>
      </c>
      <c r="AH16" s="15">
        <f t="shared" si="22"/>
        <v>1.0354535714285713</v>
      </c>
      <c r="AI16" s="68">
        <f t="shared" ref="AI16" si="23">AVERAGE(AI2:AI15)</f>
        <v>0.60074593150686806</v>
      </c>
      <c r="AJ16" s="10">
        <f>AVERAGE(AJ2:AJ15)</f>
        <v>0</v>
      </c>
      <c r="AK16" s="2">
        <f>AVERAGE(AK2:AK15)</f>
        <v>1</v>
      </c>
      <c r="AL16" s="12">
        <f>AVERAGE(AL2:AL15)</f>
        <v>0</v>
      </c>
      <c r="AM16" s="12">
        <f>AVERAGE(AM2:AM15)</f>
        <v>0.99999999999999989</v>
      </c>
      <c r="AN16" s="5">
        <f t="shared" ref="AN16" si="24">AVERAGE(AN2:AN15)</f>
        <v>0.99999999999999989</v>
      </c>
    </row>
    <row r="17" spans="1:40" ht="15" customHeight="1" x14ac:dyDescent="0.25">
      <c r="A17" s="6" t="s">
        <v>36</v>
      </c>
      <c r="M17" t="s">
        <v>34</v>
      </c>
      <c r="N17" s="1">
        <f t="shared" ref="N17:Z17" si="25">MEDIAN(N2,N15)</f>
        <v>0.59</v>
      </c>
      <c r="O17" s="1">
        <f t="shared" ref="O17:R17" si="26">MEDIAN(O2,O15)</f>
        <v>0.18576611182244984</v>
      </c>
      <c r="P17" s="1">
        <f t="shared" si="26"/>
        <v>48.132735808792148</v>
      </c>
      <c r="Q17" s="1">
        <f t="shared" si="26"/>
        <v>38.064999999999998</v>
      </c>
      <c r="R17" s="1">
        <f t="shared" si="26"/>
        <v>0.13593683311993171</v>
      </c>
      <c r="S17" s="1">
        <f t="shared" si="25"/>
        <v>0.63500000000000001</v>
      </c>
      <c r="T17" s="49"/>
      <c r="U17" s="49"/>
      <c r="V17" s="1">
        <f t="shared" si="25"/>
        <v>2.2000000000000002</v>
      </c>
      <c r="W17" s="1">
        <f t="shared" si="25"/>
        <v>0.16500000000000001</v>
      </c>
      <c r="X17" s="1">
        <f t="shared" si="25"/>
        <v>1.2149999999999999</v>
      </c>
      <c r="Y17" s="1">
        <f t="shared" si="25"/>
        <v>43.66</v>
      </c>
      <c r="Z17" s="1">
        <f t="shared" si="25"/>
        <v>63.034999999999997</v>
      </c>
      <c r="AC17" s="66">
        <f t="shared" ref="AC17:AH17" si="27">MEDIAN(AC2:AC15)</f>
        <v>1.1605334886240519</v>
      </c>
      <c r="AD17" s="62">
        <f t="shared" si="27"/>
        <v>1.2645292283616225</v>
      </c>
      <c r="AE17" s="23">
        <f t="shared" si="27"/>
        <v>1.1617055555555555</v>
      </c>
      <c r="AF17" s="20">
        <f t="shared" si="27"/>
        <v>1.0917557651991614</v>
      </c>
      <c r="AG17" s="18">
        <f t="shared" si="27"/>
        <v>1.1572611111111111</v>
      </c>
      <c r="AH17" s="15">
        <f t="shared" si="27"/>
        <v>1.13615</v>
      </c>
      <c r="AI17" s="68">
        <f t="shared" ref="AI17" si="28">MEDIAN(AI2:AI15)</f>
        <v>1.615890441796076</v>
      </c>
      <c r="AJ17" s="10">
        <f>MEDIAN(AJ2:AJ15)</f>
        <v>0.86410714285714274</v>
      </c>
      <c r="AK17" s="2">
        <f t="shared" ref="AK17" si="29">MEDIAN(AK2:AK15)</f>
        <v>1.0641142857142856</v>
      </c>
      <c r="AL17" s="12">
        <f t="shared" ref="AL17" si="30">MEDIAN(AL2:AL15)</f>
        <v>1.7282142857142855</v>
      </c>
      <c r="AM17" s="12">
        <f>MEDIAN(AM2:AM15)</f>
        <v>1.1628756157635467</v>
      </c>
      <c r="AN17" s="5">
        <f>MEDIAN(AN2:AN15)</f>
        <v>1.0864107142857142</v>
      </c>
    </row>
    <row r="18" spans="1:40" ht="15" customHeight="1" x14ac:dyDescent="0.25">
      <c r="A18" t="s">
        <v>37</v>
      </c>
      <c r="AB18" s="21" t="s">
        <v>60</v>
      </c>
    </row>
    <row r="19" spans="1:40" ht="15" customHeight="1" x14ac:dyDescent="0.25">
      <c r="A19" s="7" t="s">
        <v>41</v>
      </c>
      <c r="L19" t="s">
        <v>69</v>
      </c>
      <c r="N19">
        <v>0.82</v>
      </c>
      <c r="O19">
        <v>0.15</v>
      </c>
      <c r="R19">
        <v>0.2</v>
      </c>
      <c r="S19">
        <v>0.54</v>
      </c>
      <c r="T19">
        <v>0.09</v>
      </c>
      <c r="U19">
        <v>2.9000000000000001E-2</v>
      </c>
      <c r="W19">
        <v>0.04</v>
      </c>
      <c r="Z19">
        <v>82.3</v>
      </c>
      <c r="AB19">
        <v>1.32</v>
      </c>
      <c r="AC19" s="66">
        <f>(((N19-O19+1.25*O19)/2)+(R19/3)-(S19-0.2*T19+0.5*U19)+(Z19/250)+(W19/20))+1</f>
        <v>1.2901166666666666</v>
      </c>
      <c r="AD19" s="62">
        <f t="shared" ref="AD19:AD29" si="31">(((N19-O19+1.25*O19+R19)/2)+(1-(S19-0.25*T19+0.5*U19))+(Z19/200)+(W19/18))</f>
        <v>1.4104722222222219</v>
      </c>
      <c r="AE19" s="23">
        <f t="shared" ref="AE19:AE29" si="32">((N19/2)+(1-(S19-0.25*T19+0.5*U19))+(Z19/200)+(W19/18))</f>
        <v>1.291722222222222</v>
      </c>
      <c r="AF19" s="20">
        <f t="shared" ref="AF19:AF29" si="33">(((N19/2)+(1-S19)+(Z19/200)+(W19/9)))/1.06</f>
        <v>1.2131551362683437</v>
      </c>
      <c r="AG19" s="18">
        <f t="shared" ref="AG19:AG29" si="34">((N19/2)+(1-S19)+(Z19/200)+(W19/9))</f>
        <v>1.2859444444444443</v>
      </c>
      <c r="AH19" s="15">
        <f t="shared" ref="AH19:AH29" si="35">((N19/2)+(1-S19)+(Z19/200))</f>
        <v>1.2814999999999999</v>
      </c>
      <c r="AI19" s="68">
        <f>(((N19-O19+1.25*O19)/2)+(R19/3)-(S19-0.2*T19+0.5*U19)+(Z19/250)+(W19/18))*10</f>
        <v>2.9033888888888888</v>
      </c>
    </row>
    <row r="20" spans="1:40" ht="15" customHeight="1" x14ac:dyDescent="0.25">
      <c r="A20" s="7" t="s">
        <v>43</v>
      </c>
      <c r="L20" t="s">
        <v>70</v>
      </c>
      <c r="N20">
        <v>0.81</v>
      </c>
      <c r="O20">
        <v>0.14000000000000001</v>
      </c>
      <c r="R20">
        <v>0.2</v>
      </c>
      <c r="S20">
        <v>0.56000000000000005</v>
      </c>
      <c r="T20">
        <v>0.12</v>
      </c>
      <c r="U20">
        <v>4.4999999999999998E-2</v>
      </c>
      <c r="W20">
        <v>0.05</v>
      </c>
      <c r="Z20">
        <v>81.5</v>
      </c>
      <c r="AB20">
        <v>1.29</v>
      </c>
      <c r="AC20" s="66">
        <f t="shared" ref="AC20:AC29" si="36">(((N20-O20+1.25*O20)/2)+(R20/3)-(S20-0.2*T20+0.5*U20)+(Z20/250)+(W20/20))+1</f>
        <v>1.2591666666666668</v>
      </c>
      <c r="AD20" s="62">
        <f t="shared" si="31"/>
        <v>1.3802777777777777</v>
      </c>
      <c r="AE20" s="23">
        <f t="shared" si="32"/>
        <v>1.2627777777777778</v>
      </c>
      <c r="AF20" s="20">
        <f t="shared" si="33"/>
        <v>1.186844863731656</v>
      </c>
      <c r="AG20" s="18">
        <f t="shared" si="34"/>
        <v>1.2580555555555555</v>
      </c>
      <c r="AH20" s="15">
        <f t="shared" si="35"/>
        <v>1.2524999999999999</v>
      </c>
      <c r="AI20" s="68">
        <f t="shared" ref="AI20:AI29" si="37">(((N20-O20+1.25*O20)/2)+(R20/3)-(S20-0.2*T20+0.5*U20)+(Z20/250)+(W20/18))*10</f>
        <v>2.594444444444445</v>
      </c>
    </row>
    <row r="21" spans="1:40" ht="15" customHeight="1" x14ac:dyDescent="0.25">
      <c r="A21" s="13" t="s">
        <v>48</v>
      </c>
      <c r="L21" t="s">
        <v>58</v>
      </c>
      <c r="N21">
        <v>0.81</v>
      </c>
      <c r="O21">
        <v>0.09</v>
      </c>
      <c r="R21">
        <v>0.21</v>
      </c>
      <c r="S21">
        <v>0.69</v>
      </c>
      <c r="T21">
        <v>0.15</v>
      </c>
      <c r="U21">
        <v>3.5000000000000003E-2</v>
      </c>
      <c r="W21">
        <v>0.05</v>
      </c>
      <c r="Z21">
        <v>91.1</v>
      </c>
      <c r="AB21">
        <v>1.2</v>
      </c>
      <c r="AC21" s="66">
        <f t="shared" si="36"/>
        <v>1.1756500000000001</v>
      </c>
      <c r="AD21" s="62">
        <f t="shared" si="31"/>
        <v>1.3095277777777778</v>
      </c>
      <c r="AE21" s="23">
        <f t="shared" si="32"/>
        <v>1.1932777777777779</v>
      </c>
      <c r="AF21" s="20">
        <f t="shared" si="33"/>
        <v>1.1094863731656184</v>
      </c>
      <c r="AG21" s="18">
        <f t="shared" si="34"/>
        <v>1.1760555555555556</v>
      </c>
      <c r="AH21" s="15">
        <f t="shared" si="35"/>
        <v>1.1705000000000001</v>
      </c>
      <c r="AI21" s="68">
        <f t="shared" si="37"/>
        <v>1.7592777777777791</v>
      </c>
    </row>
    <row r="22" spans="1:40" ht="15" customHeight="1" x14ac:dyDescent="0.25">
      <c r="A22" s="16" t="s">
        <v>54</v>
      </c>
      <c r="L22" t="s">
        <v>71</v>
      </c>
      <c r="N22">
        <v>0.69</v>
      </c>
      <c r="O22">
        <v>0.1</v>
      </c>
      <c r="R22">
        <v>0.17</v>
      </c>
      <c r="S22">
        <v>0.63</v>
      </c>
      <c r="T22">
        <v>0.11</v>
      </c>
      <c r="U22">
        <v>4.8000000000000001E-2</v>
      </c>
      <c r="W22">
        <v>0.03</v>
      </c>
      <c r="Z22">
        <v>76.2</v>
      </c>
      <c r="AB22">
        <v>1.1000000000000001</v>
      </c>
      <c r="AC22" s="66">
        <f t="shared" si="36"/>
        <v>1.0884666666666667</v>
      </c>
      <c r="AD22" s="62">
        <f t="shared" si="31"/>
        <v>1.1986666666666668</v>
      </c>
      <c r="AE22" s="23">
        <f t="shared" si="32"/>
        <v>1.1011666666666666</v>
      </c>
      <c r="AF22" s="20">
        <f t="shared" si="33"/>
        <v>1.0371069182389938</v>
      </c>
      <c r="AG22" s="18">
        <f t="shared" si="34"/>
        <v>1.0993333333333335</v>
      </c>
      <c r="AH22" s="15">
        <f t="shared" si="35"/>
        <v>1.0960000000000001</v>
      </c>
      <c r="AI22" s="68">
        <f t="shared" si="37"/>
        <v>0.88633333333333353</v>
      </c>
    </row>
    <row r="23" spans="1:40" ht="15" customHeight="1" x14ac:dyDescent="0.25">
      <c r="A23" s="16" t="s">
        <v>57</v>
      </c>
      <c r="L23" t="s">
        <v>59</v>
      </c>
      <c r="N23">
        <v>0.6</v>
      </c>
      <c r="O23">
        <v>0.09</v>
      </c>
      <c r="R23">
        <v>0.13</v>
      </c>
      <c r="S23">
        <v>0.65</v>
      </c>
      <c r="T23">
        <v>0.14000000000000001</v>
      </c>
      <c r="U23">
        <v>7.0000000000000007E-2</v>
      </c>
      <c r="W23">
        <v>0.03</v>
      </c>
      <c r="Z23">
        <v>63.9</v>
      </c>
      <c r="AB23">
        <v>0.94</v>
      </c>
      <c r="AC23" s="66">
        <f t="shared" si="36"/>
        <v>0.95468333333333333</v>
      </c>
      <c r="AD23" s="62">
        <f t="shared" si="31"/>
        <v>1.0474166666666667</v>
      </c>
      <c r="AE23" s="23">
        <f t="shared" si="32"/>
        <v>0.97116666666666662</v>
      </c>
      <c r="AF23" s="20">
        <f t="shared" si="33"/>
        <v>0.91776729559748416</v>
      </c>
      <c r="AG23" s="18">
        <f t="shared" si="34"/>
        <v>0.97283333333333322</v>
      </c>
      <c r="AH23" s="15">
        <f t="shared" si="35"/>
        <v>0.96949999999999992</v>
      </c>
      <c r="AI23" s="68">
        <f t="shared" si="37"/>
        <v>-0.45150000000000012</v>
      </c>
    </row>
    <row r="24" spans="1:40" ht="15" customHeight="1" x14ac:dyDescent="0.25">
      <c r="A24" s="24" t="s">
        <v>72</v>
      </c>
      <c r="M24" t="s">
        <v>84</v>
      </c>
      <c r="N24">
        <v>2</v>
      </c>
      <c r="O24">
        <v>1</v>
      </c>
      <c r="R24">
        <v>1</v>
      </c>
      <c r="S24">
        <v>0</v>
      </c>
      <c r="T24">
        <v>0</v>
      </c>
      <c r="U24">
        <v>0</v>
      </c>
      <c r="W24">
        <v>0</v>
      </c>
      <c r="Z24">
        <v>200</v>
      </c>
      <c r="AC24" s="66">
        <f t="shared" si="36"/>
        <v>3.2583333333333333</v>
      </c>
      <c r="AD24" s="62">
        <f t="shared" si="31"/>
        <v>3.625</v>
      </c>
      <c r="AE24" s="23">
        <f t="shared" si="32"/>
        <v>3</v>
      </c>
      <c r="AF24" s="20">
        <f t="shared" si="33"/>
        <v>2.8301886792452828</v>
      </c>
      <c r="AG24" s="18">
        <f t="shared" si="34"/>
        <v>3</v>
      </c>
      <c r="AH24" s="15">
        <f t="shared" si="35"/>
        <v>3</v>
      </c>
      <c r="AI24" s="68">
        <f t="shared" si="37"/>
        <v>22.583333333333332</v>
      </c>
    </row>
    <row r="25" spans="1:40" ht="15" customHeight="1" x14ac:dyDescent="0.25">
      <c r="A25" s="63" t="s">
        <v>80</v>
      </c>
      <c r="M25" t="s">
        <v>83</v>
      </c>
      <c r="N25">
        <v>0</v>
      </c>
      <c r="O25">
        <v>0</v>
      </c>
      <c r="R25">
        <v>0</v>
      </c>
      <c r="S25">
        <v>1</v>
      </c>
      <c r="T25">
        <v>0</v>
      </c>
      <c r="U25">
        <v>0</v>
      </c>
      <c r="W25">
        <v>0</v>
      </c>
      <c r="Z25">
        <v>0</v>
      </c>
      <c r="AC25" s="66">
        <f t="shared" si="36"/>
        <v>0</v>
      </c>
      <c r="AD25" s="62">
        <f t="shared" si="31"/>
        <v>0</v>
      </c>
      <c r="AE25" s="23">
        <f t="shared" si="32"/>
        <v>0</v>
      </c>
      <c r="AF25" s="20">
        <f t="shared" si="33"/>
        <v>0</v>
      </c>
      <c r="AG25" s="18">
        <f t="shared" si="34"/>
        <v>0</v>
      </c>
      <c r="AH25" s="15">
        <f t="shared" si="35"/>
        <v>0</v>
      </c>
      <c r="AI25" s="68">
        <f t="shared" si="37"/>
        <v>-10</v>
      </c>
    </row>
    <row r="26" spans="1:40" ht="15" customHeight="1" x14ac:dyDescent="0.25">
      <c r="A26" s="70" t="s">
        <v>88</v>
      </c>
      <c r="N26">
        <v>1</v>
      </c>
      <c r="O26">
        <v>1</v>
      </c>
      <c r="R26">
        <v>0</v>
      </c>
      <c r="S26">
        <v>1</v>
      </c>
      <c r="T26">
        <v>1</v>
      </c>
      <c r="U26">
        <v>0</v>
      </c>
      <c r="W26">
        <v>0</v>
      </c>
      <c r="Z26">
        <v>100</v>
      </c>
      <c r="AC26" s="66">
        <f t="shared" si="36"/>
        <v>1.2250000000000001</v>
      </c>
      <c r="AD26" s="62">
        <f t="shared" si="31"/>
        <v>1.375</v>
      </c>
      <c r="AE26" s="23">
        <f t="shared" si="32"/>
        <v>1.25</v>
      </c>
      <c r="AF26" s="20">
        <f t="shared" si="33"/>
        <v>0.94339622641509424</v>
      </c>
      <c r="AG26" s="18">
        <f t="shared" si="34"/>
        <v>1</v>
      </c>
      <c r="AH26" s="15">
        <f t="shared" si="35"/>
        <v>1</v>
      </c>
      <c r="AI26" s="68">
        <f t="shared" si="37"/>
        <v>2.25</v>
      </c>
    </row>
    <row r="27" spans="1:40" ht="15" customHeight="1" x14ac:dyDescent="0.25">
      <c r="A27" s="70" t="s">
        <v>89</v>
      </c>
      <c r="N27">
        <v>0</v>
      </c>
      <c r="O27">
        <v>0</v>
      </c>
      <c r="R27">
        <v>0</v>
      </c>
      <c r="S27">
        <v>1</v>
      </c>
      <c r="T27">
        <v>1</v>
      </c>
      <c r="U27">
        <v>0</v>
      </c>
      <c r="W27">
        <v>0</v>
      </c>
      <c r="Z27">
        <v>99</v>
      </c>
      <c r="AC27" s="66">
        <f t="shared" si="36"/>
        <v>0.59599999999999997</v>
      </c>
      <c r="AD27" s="62">
        <f t="shared" si="31"/>
        <v>0.745</v>
      </c>
      <c r="AE27" s="23">
        <f t="shared" si="32"/>
        <v>0.745</v>
      </c>
      <c r="AF27" s="20">
        <f t="shared" si="33"/>
        <v>0.46698113207547165</v>
      </c>
      <c r="AG27" s="18">
        <f t="shared" si="34"/>
        <v>0.495</v>
      </c>
      <c r="AH27" s="15">
        <f t="shared" si="35"/>
        <v>0.495</v>
      </c>
      <c r="AI27" s="68">
        <f t="shared" si="37"/>
        <v>-4.04</v>
      </c>
    </row>
    <row r="28" spans="1:40" ht="15" customHeight="1" x14ac:dyDescent="0.25">
      <c r="N28">
        <v>1</v>
      </c>
      <c r="O28">
        <v>1</v>
      </c>
      <c r="R28">
        <v>0</v>
      </c>
      <c r="S28">
        <v>1</v>
      </c>
      <c r="T28">
        <v>1</v>
      </c>
      <c r="U28">
        <v>0</v>
      </c>
      <c r="W28">
        <v>0</v>
      </c>
      <c r="Z28">
        <v>150</v>
      </c>
      <c r="AC28" s="66">
        <f t="shared" si="36"/>
        <v>1.4249999999999998</v>
      </c>
      <c r="AD28" s="62">
        <f t="shared" si="31"/>
        <v>1.625</v>
      </c>
      <c r="AE28" s="23">
        <f t="shared" si="32"/>
        <v>1.5</v>
      </c>
      <c r="AF28" s="20">
        <f t="shared" si="33"/>
        <v>1.1792452830188678</v>
      </c>
      <c r="AG28" s="18">
        <f t="shared" si="34"/>
        <v>1.25</v>
      </c>
      <c r="AH28" s="15">
        <f t="shared" si="35"/>
        <v>1.25</v>
      </c>
      <c r="AI28" s="68">
        <f t="shared" si="37"/>
        <v>4.2499999999999991</v>
      </c>
    </row>
    <row r="29" spans="1:40" ht="15" customHeight="1" x14ac:dyDescent="0.25">
      <c r="N29">
        <v>1</v>
      </c>
      <c r="O29">
        <v>0</v>
      </c>
      <c r="R29">
        <v>0</v>
      </c>
      <c r="S29">
        <v>1</v>
      </c>
      <c r="T29">
        <v>0</v>
      </c>
      <c r="U29">
        <v>0</v>
      </c>
      <c r="W29">
        <v>0</v>
      </c>
      <c r="Z29">
        <v>100</v>
      </c>
      <c r="AC29" s="66">
        <f t="shared" si="36"/>
        <v>0.9</v>
      </c>
      <c r="AD29" s="62">
        <f t="shared" si="31"/>
        <v>1</v>
      </c>
      <c r="AE29" s="23">
        <f t="shared" si="32"/>
        <v>1</v>
      </c>
      <c r="AF29" s="20">
        <f t="shared" si="33"/>
        <v>0.94339622641509424</v>
      </c>
      <c r="AG29" s="18">
        <f t="shared" si="34"/>
        <v>1</v>
      </c>
      <c r="AH29" s="15">
        <f t="shared" si="35"/>
        <v>1</v>
      </c>
      <c r="AI29" s="68">
        <f t="shared" si="37"/>
        <v>-0.99999999999999978</v>
      </c>
    </row>
    <row r="31" spans="1:40" ht="15" customHeight="1" x14ac:dyDescent="0.25">
      <c r="A31" s="13" t="s">
        <v>47</v>
      </c>
    </row>
    <row r="32" spans="1:40" ht="15" customHeight="1" x14ac:dyDescent="0.25">
      <c r="A32" s="16" t="s">
        <v>49</v>
      </c>
    </row>
    <row r="33" spans="1:2" ht="15" customHeight="1" x14ac:dyDescent="0.25">
      <c r="B33" t="s">
        <v>56</v>
      </c>
    </row>
    <row r="34" spans="1:2" ht="15" customHeight="1" x14ac:dyDescent="0.25">
      <c r="B34" s="21" t="s">
        <v>63</v>
      </c>
    </row>
    <row r="35" spans="1:2" ht="15" customHeight="1" x14ac:dyDescent="0.25">
      <c r="B35" s="21" t="s">
        <v>61</v>
      </c>
    </row>
    <row r="36" spans="1:2" ht="15" customHeight="1" x14ac:dyDescent="0.25">
      <c r="B36" s="25" t="s">
        <v>64</v>
      </c>
    </row>
    <row r="37" spans="1:2" ht="15" customHeight="1" x14ac:dyDescent="0.25">
      <c r="B37" s="69" t="s">
        <v>86</v>
      </c>
    </row>
    <row r="38" spans="1:2" ht="15" customHeight="1" x14ac:dyDescent="0.25">
      <c r="B38" s="69" t="s">
        <v>87</v>
      </c>
    </row>
    <row r="39" spans="1:2" ht="15" customHeight="1" x14ac:dyDescent="0.25">
      <c r="A39" s="13" t="s">
        <v>50</v>
      </c>
    </row>
  </sheetData>
  <sortState xmlns:xlrd2="http://schemas.microsoft.com/office/spreadsheetml/2017/richdata2" ref="A2:AB15">
    <sortCondition sortBy="cellColor" ref="AB14:AB15" dxfId="0"/>
  </sortState>
  <phoneticPr fontId="13" type="noConversion"/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2025-10-29T19:02:06Z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