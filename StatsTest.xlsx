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"/>
    </mc:Choice>
  </mc:AlternateContent>
  <xr:revisionPtr revIDLastSave="0" documentId="13_ncr:1_{58C6766F-A128-4C33-8081-1A26604B9ABA}" xr6:coauthVersionLast="47" xr6:coauthVersionMax="47" xr10:uidLastSave="{00000000-0000-0000-0000-000000000000}"/>
  <bookViews>
    <workbookView xWindow="300" yWindow="3315" windowWidth="28800" windowHeight="15345" tabRatio="387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AH19" i="1" l="1"/>
  <c r="AH20" i="1"/>
  <c r="AH21" i="1"/>
  <c r="AH2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2" i="1"/>
  <c r="R17" i="1"/>
  <c r="R16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2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X12" i="1"/>
  <c r="AE8" i="1"/>
  <c r="W8" i="1"/>
  <c r="W3" i="1"/>
  <c r="W9" i="1"/>
  <c r="W5" i="1"/>
  <c r="W4" i="1"/>
  <c r="W6" i="1"/>
  <c r="W7" i="1"/>
  <c r="W10" i="1"/>
  <c r="W11" i="1"/>
  <c r="W12" i="1"/>
  <c r="W13" i="1"/>
  <c r="W15" i="1"/>
  <c r="W14" i="1"/>
  <c r="W2" i="1"/>
  <c r="V3" i="1"/>
  <c r="V8" i="1"/>
  <c r="V9" i="1"/>
  <c r="V5" i="1"/>
  <c r="V4" i="1"/>
  <c r="V6" i="1"/>
  <c r="V7" i="1"/>
  <c r="V10" i="1"/>
  <c r="V11" i="1"/>
  <c r="V12" i="1"/>
  <c r="V13" i="1"/>
  <c r="V15" i="1"/>
  <c r="V14" i="1"/>
  <c r="V2" i="1"/>
  <c r="Q3" i="1"/>
  <c r="Q8" i="1"/>
  <c r="Q9" i="1"/>
  <c r="Q5" i="1"/>
  <c r="Q4" i="1"/>
  <c r="Q6" i="1"/>
  <c r="Q7" i="1"/>
  <c r="Q10" i="1"/>
  <c r="Q11" i="1"/>
  <c r="Q12" i="1"/>
  <c r="Q13" i="1"/>
  <c r="Q15" i="1"/>
  <c r="Q14" i="1"/>
  <c r="Q2" i="1"/>
  <c r="T3" i="1"/>
  <c r="T8" i="1"/>
  <c r="T9" i="1"/>
  <c r="T5" i="1"/>
  <c r="T4" i="1"/>
  <c r="T6" i="1"/>
  <c r="T7" i="1"/>
  <c r="T10" i="1"/>
  <c r="T11" i="1"/>
  <c r="T12" i="1"/>
  <c r="T13" i="1"/>
  <c r="T15" i="1"/>
  <c r="T14" i="1"/>
  <c r="T2" i="1"/>
  <c r="U3" i="1"/>
  <c r="U8" i="1"/>
  <c r="U9" i="1"/>
  <c r="U5" i="1"/>
  <c r="U4" i="1"/>
  <c r="U6" i="1"/>
  <c r="U7" i="1"/>
  <c r="U10" i="1"/>
  <c r="U11" i="1"/>
  <c r="U12" i="1"/>
  <c r="U13" i="1"/>
  <c r="U15" i="1"/>
  <c r="U14" i="1"/>
  <c r="U2" i="1"/>
  <c r="Z3" i="1"/>
  <c r="Z8" i="1"/>
  <c r="Z9" i="1"/>
  <c r="Z5" i="1"/>
  <c r="Z4" i="1"/>
  <c r="Z6" i="1"/>
  <c r="Z7" i="1"/>
  <c r="Z10" i="1"/>
  <c r="Z11" i="1"/>
  <c r="Z12" i="1"/>
  <c r="Z13" i="1"/>
  <c r="Z15" i="1"/>
  <c r="Z14" i="1"/>
  <c r="Z2" i="1"/>
  <c r="Y2" i="1"/>
  <c r="Y14" i="1"/>
  <c r="Y15" i="1"/>
  <c r="Y13" i="1"/>
  <c r="Y12" i="1"/>
  <c r="Y11" i="1"/>
  <c r="Y10" i="1"/>
  <c r="Y7" i="1"/>
  <c r="Y4" i="1"/>
  <c r="Y5" i="1"/>
  <c r="Y6" i="1"/>
  <c r="Y9" i="1"/>
  <c r="Y3" i="1"/>
  <c r="Y8" i="1"/>
  <c r="AE14" i="1"/>
  <c r="AD14" i="1"/>
  <c r="AC14" i="1"/>
  <c r="AB14" i="1"/>
  <c r="AA14" i="1"/>
  <c r="X14" i="1"/>
  <c r="P14" i="1"/>
  <c r="AE15" i="1"/>
  <c r="AD15" i="1"/>
  <c r="AC15" i="1"/>
  <c r="AB15" i="1"/>
  <c r="AA15" i="1"/>
  <c r="X15" i="1"/>
  <c r="P15" i="1"/>
  <c r="AE13" i="1"/>
  <c r="AD13" i="1"/>
  <c r="AC13" i="1"/>
  <c r="AB13" i="1"/>
  <c r="AA13" i="1"/>
  <c r="X13" i="1"/>
  <c r="P13" i="1"/>
  <c r="AE12" i="1"/>
  <c r="AD12" i="1"/>
  <c r="AC12" i="1"/>
  <c r="AB12" i="1"/>
  <c r="AA12" i="1"/>
  <c r="P12" i="1"/>
  <c r="AE11" i="1"/>
  <c r="AD11" i="1"/>
  <c r="AC11" i="1"/>
  <c r="AB11" i="1"/>
  <c r="AA11" i="1"/>
  <c r="X11" i="1"/>
  <c r="P11" i="1"/>
  <c r="AE10" i="1"/>
  <c r="AD10" i="1"/>
  <c r="AC10" i="1"/>
  <c r="AB10" i="1"/>
  <c r="AA10" i="1"/>
  <c r="X10" i="1"/>
  <c r="P10" i="1"/>
  <c r="AE7" i="1"/>
  <c r="AD7" i="1"/>
  <c r="AC7" i="1"/>
  <c r="AB7" i="1"/>
  <c r="AA7" i="1"/>
  <c r="X7" i="1"/>
  <c r="P7" i="1"/>
  <c r="AE6" i="1"/>
  <c r="AD6" i="1"/>
  <c r="AC6" i="1"/>
  <c r="AB6" i="1"/>
  <c r="AA6" i="1"/>
  <c r="X6" i="1"/>
  <c r="P6" i="1"/>
  <c r="AE4" i="1"/>
  <c r="AD4" i="1"/>
  <c r="AC4" i="1"/>
  <c r="AB4" i="1"/>
  <c r="AA4" i="1"/>
  <c r="X4" i="1"/>
  <c r="P4" i="1"/>
  <c r="AE5" i="1"/>
  <c r="AD5" i="1"/>
  <c r="AC5" i="1"/>
  <c r="AB5" i="1"/>
  <c r="AA5" i="1"/>
  <c r="X5" i="1"/>
  <c r="P5" i="1"/>
  <c r="AE9" i="1"/>
  <c r="AD9" i="1"/>
  <c r="AC9" i="1"/>
  <c r="AB9" i="1"/>
  <c r="AA9" i="1"/>
  <c r="X9" i="1"/>
  <c r="P9" i="1"/>
  <c r="AD8" i="1"/>
  <c r="AC8" i="1"/>
  <c r="AB8" i="1"/>
  <c r="AA8" i="1"/>
  <c r="X8" i="1"/>
  <c r="P8" i="1"/>
  <c r="AE3" i="1"/>
  <c r="AD3" i="1"/>
  <c r="AC3" i="1"/>
  <c r="AB3" i="1"/>
  <c r="AA3" i="1"/>
  <c r="X3" i="1"/>
  <c r="P3" i="1"/>
  <c r="AE2" i="1"/>
  <c r="AD2" i="1"/>
  <c r="AC2" i="1"/>
  <c r="AB2" i="1"/>
  <c r="AA2" i="1"/>
  <c r="X2" i="1"/>
  <c r="P2" i="1"/>
  <c r="Y17" i="1" l="1"/>
  <c r="V17" i="1"/>
  <c r="V16" i="1" s="1"/>
  <c r="Y16" i="1"/>
  <c r="W17" i="1"/>
  <c r="W16" i="1" s="1"/>
  <c r="AO9" i="1"/>
  <c r="AO14" i="1"/>
  <c r="AI12" i="1"/>
  <c r="AI7" i="1"/>
  <c r="AO4" i="1"/>
  <c r="AO13" i="1"/>
  <c r="AI11" i="1"/>
  <c r="AI5" i="1"/>
  <c r="AI13" i="1"/>
  <c r="AI14" i="1"/>
  <c r="AO6" i="1"/>
  <c r="AO12" i="1"/>
  <c r="AI4" i="1"/>
  <c r="AO15" i="1"/>
  <c r="AI9" i="1"/>
  <c r="AO7" i="1"/>
  <c r="AO11" i="1"/>
  <c r="AI6" i="1"/>
  <c r="AO5" i="1"/>
  <c r="AI15" i="1"/>
  <c r="AO2" i="1"/>
  <c r="AO3" i="1"/>
  <c r="AI2" i="1"/>
  <c r="AO10" i="1"/>
  <c r="AO8" i="1"/>
  <c r="AI3" i="1"/>
  <c r="AI10" i="1"/>
  <c r="AI8" i="1"/>
  <c r="AJ4" i="1"/>
  <c r="AJ15" i="1"/>
  <c r="AJ3" i="1"/>
  <c r="AJ6" i="1"/>
  <c r="AJ12" i="1"/>
  <c r="AJ10" i="1"/>
  <c r="AJ5" i="1"/>
  <c r="AJ8" i="1"/>
  <c r="AJ2" i="1"/>
  <c r="AJ13" i="1"/>
  <c r="AJ11" i="1"/>
  <c r="AJ14" i="1"/>
  <c r="AJ7" i="1"/>
  <c r="AJ9" i="1"/>
  <c r="U17" i="1"/>
  <c r="U16" i="1" s="1"/>
  <c r="T17" i="1"/>
  <c r="T16" i="1" s="1"/>
  <c r="S17" i="1"/>
  <c r="S16" i="1" s="1"/>
  <c r="Q17" i="1"/>
  <c r="Q16" i="1" s="1"/>
  <c r="AM7" i="1"/>
  <c r="AM3" i="1"/>
  <c r="AK6" i="1"/>
  <c r="AK12" i="1"/>
  <c r="AM11" i="1"/>
  <c r="AM5" i="1"/>
  <c r="AK11" i="1"/>
  <c r="AK13" i="1"/>
  <c r="AK15" i="1"/>
  <c r="AK9" i="1"/>
  <c r="AM6" i="1"/>
  <c r="AM14" i="1"/>
  <c r="AK4" i="1"/>
  <c r="AM2" i="1"/>
  <c r="AK10" i="1"/>
  <c r="AM10" i="1"/>
  <c r="AK3" i="1"/>
  <c r="AM8" i="1"/>
  <c r="AK14" i="1"/>
  <c r="AM12" i="1"/>
  <c r="AK7" i="1"/>
  <c r="AK2" i="1"/>
  <c r="AM15" i="1"/>
  <c r="AM4" i="1"/>
  <c r="AK8" i="1"/>
  <c r="AM13" i="1"/>
  <c r="AM9" i="1"/>
  <c r="AK5" i="1"/>
  <c r="AN9" i="1"/>
  <c r="AN6" i="1"/>
  <c r="AN14" i="1"/>
  <c r="AN12" i="1"/>
  <c r="AN10" i="1"/>
  <c r="AN11" i="1"/>
  <c r="AL14" i="1"/>
  <c r="AL11" i="1"/>
  <c r="AD17" i="1"/>
  <c r="AN2" i="1"/>
  <c r="AL8" i="1"/>
  <c r="AN5" i="1"/>
  <c r="AL12" i="1"/>
  <c r="AN4" i="1"/>
  <c r="AN15" i="1"/>
  <c r="AL7" i="1"/>
  <c r="X17" i="1"/>
  <c r="X16" i="1" s="1"/>
  <c r="AN3" i="1"/>
  <c r="AN8" i="1"/>
  <c r="AL6" i="1"/>
  <c r="AN13" i="1"/>
  <c r="AL5" i="1"/>
  <c r="AL2" i="1"/>
  <c r="AL3" i="1"/>
  <c r="AL10" i="1"/>
  <c r="AL15" i="1"/>
  <c r="AL4" i="1"/>
  <c r="AB17" i="1"/>
  <c r="AL9" i="1"/>
  <c r="AN7" i="1"/>
  <c r="AL13" i="1"/>
  <c r="AC17" i="1"/>
  <c r="AC16" i="1" s="1"/>
  <c r="P17" i="1"/>
  <c r="AE17" i="1"/>
  <c r="AE16" i="1" s="1"/>
  <c r="AA17" i="1"/>
  <c r="AA16" i="1" s="1"/>
  <c r="P16" i="1"/>
  <c r="AB16" i="1"/>
  <c r="AD16" i="1"/>
  <c r="AH16" i="1" l="1"/>
  <c r="AH17" i="1"/>
  <c r="AO17" i="1"/>
  <c r="AO16" i="1" s="1"/>
  <c r="AI17" i="1"/>
  <c r="AI16" i="1" s="1"/>
  <c r="AJ17" i="1"/>
  <c r="AJ16" i="1" s="1"/>
  <c r="AK17" i="1"/>
  <c r="AK16" i="1" s="1"/>
  <c r="AM17" i="1"/>
  <c r="AM16" i="1" s="1"/>
  <c r="AL17" i="1"/>
  <c r="AL16" i="1" s="1"/>
  <c r="AN17" i="1"/>
  <c r="AN16" i="1" s="1"/>
  <c r="AP14" i="1"/>
  <c r="AP11" i="1"/>
  <c r="AP8" i="1"/>
  <c r="AP2" i="1"/>
  <c r="AP3" i="1"/>
  <c r="AT6" i="1"/>
  <c r="AP10" i="1"/>
  <c r="AP15" i="1"/>
  <c r="AT15" i="1"/>
  <c r="AP4" i="1"/>
  <c r="AT14" i="1"/>
  <c r="AP13" i="1"/>
  <c r="AT7" i="1"/>
  <c r="AT11" i="1"/>
  <c r="AP6" i="1"/>
  <c r="AP9" i="1"/>
  <c r="AP7" i="1"/>
  <c r="AP12" i="1"/>
  <c r="AP5" i="1"/>
  <c r="AT2" i="1"/>
  <c r="AT10" i="1"/>
  <c r="AT12" i="1"/>
  <c r="AT5" i="1"/>
  <c r="AT8" i="1"/>
  <c r="AT4" i="1"/>
  <c r="AT3" i="1"/>
  <c r="AT9" i="1"/>
  <c r="AT13" i="1"/>
  <c r="AS13" i="1"/>
  <c r="AR10" i="1"/>
  <c r="AS4" i="1"/>
  <c r="AR12" i="1"/>
  <c r="AS10" i="1"/>
  <c r="AR11" i="1"/>
  <c r="AS5" i="1"/>
  <c r="AR9" i="1"/>
  <c r="AR14" i="1"/>
  <c r="AS8" i="1"/>
  <c r="AS7" i="1"/>
  <c r="AR3" i="1"/>
  <c r="AR8" i="1"/>
  <c r="AR5" i="1"/>
  <c r="AS14" i="1"/>
  <c r="AS15" i="1"/>
  <c r="AR6" i="1"/>
  <c r="AR7" i="1"/>
  <c r="AS6" i="1"/>
  <c r="AS3" i="1"/>
  <c r="AR13" i="1"/>
  <c r="AS2" i="1"/>
  <c r="AS12" i="1"/>
  <c r="AR4" i="1"/>
  <c r="AS9" i="1"/>
  <c r="AR15" i="1"/>
  <c r="AS11" i="1"/>
  <c r="AR2" i="1"/>
  <c r="AQ5" i="1"/>
  <c r="AQ4" i="1"/>
  <c r="AQ6" i="1"/>
  <c r="AQ8" i="1"/>
  <c r="AQ11" i="1"/>
  <c r="AQ3" i="1"/>
  <c r="AQ7" i="1"/>
  <c r="AQ15" i="1"/>
  <c r="AQ2" i="1"/>
  <c r="AQ13" i="1"/>
  <c r="AQ10" i="1"/>
  <c r="AQ12" i="1"/>
  <c r="AQ14" i="1"/>
  <c r="AQ9" i="1"/>
  <c r="AP17" i="1" l="1"/>
  <c r="AP16" i="1" s="1"/>
  <c r="AT17" i="1"/>
  <c r="AT16" i="1" s="1"/>
  <c r="AS17" i="1"/>
  <c r="AR17" i="1"/>
  <c r="AQ17" i="1"/>
  <c r="AS16" i="1"/>
  <c r="AR16" i="1"/>
  <c r="AQ16" i="1"/>
</calcChain>
</file>

<file path=xl/sharedStrings.xml><?xml version="1.0" encoding="utf-8"?>
<sst xmlns="http://schemas.openxmlformats.org/spreadsheetml/2006/main" count="119" uniqueCount="101">
  <si>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</si>
  <si>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</si>
  <si>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</si>
  <si>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</si>
  <si>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</si>
  <si>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</si>
  <si>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</si>
  <si>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</si>
  <si>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</si>
  <si>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</si>
  <si>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</si>
  <si>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</si>
  <si>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</si>
  <si>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</si>
  <si>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</si>
  <si>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</si>
  <si>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</si>
  <si>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</si>
  <si>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</si>
  <si>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</si>
  <si>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</si>
  <si>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</si>
  <si>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</si>
  <si>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</si>
  <si>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</si>
  <si>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</si>
  <si>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</si>
  <si>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</si>
  <si>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</si>
  <si>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</si>
  <si>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</si>
  <si>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</si>
  <si>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Rating A: [(ΔKPR-ΔDPR+ΔADR)/100]+1</t>
  </si>
  <si>
    <t>AVG</t>
  </si>
  <si>
    <t>MED</t>
  </si>
  <si>
    <t>RatingA</t>
  </si>
  <si>
    <t>Rating E: [(ΔKPR-ΔDPR+ΔADR)/100]*10</t>
  </si>
  <si>
    <t>Rating F: [ΔKPR-ΔDPR+(ΔADR/114)]+1</t>
  </si>
  <si>
    <t>RatingE</t>
  </si>
  <si>
    <t>RatingF</t>
  </si>
  <si>
    <t>RatingAF</t>
  </si>
  <si>
    <t>Rating AF: ={[ΔKPR-ΔDPR+(ΔADR/100)]/2}+1</t>
  </si>
  <si>
    <t>RatingEF</t>
  </si>
  <si>
    <t>Rating AF: ={[ΔKPR-ΔDPR+(ΔADR/100)]/2}*10</t>
  </si>
  <si>
    <t>6th</t>
  </si>
  <si>
    <t>7th</t>
  </si>
  <si>
    <t>RatingG</t>
  </si>
  <si>
    <t>Notes</t>
  </si>
  <si>
    <t>RatingG=[(kpr/2)+(1-dpr)+(adr/200)]</t>
  </si>
  <si>
    <t>Rating G is solid, probably need to factor in mulit kills/entrying/clutch/util. Good objective measure</t>
  </si>
  <si>
    <t>Rating AF/EF is good as well, just doesn't work from match to match…only really good from a large sample size to compare between players.</t>
  </si>
  <si>
    <t>5th</t>
  </si>
  <si>
    <t>RatingG1.1</t>
  </si>
  <si>
    <t>RatingG1.1=[(kpr/2)+(1-dpr)+(adr/200)+(efr/9)]</t>
  </si>
  <si>
    <t>RatingG1.2</t>
  </si>
  <si>
    <t>1.1 includes EFS, 1.2 includes a downsizing to average around 1.0. Nice balance between AF &amp; G</t>
  </si>
  <si>
    <t>RatingG1.2={[(kpr/2)+(1-dpr)+(adr/200)+(efr/9)]/1.06}</t>
  </si>
  <si>
    <t>Think G1.2 is actually a good rating, mix between AF+G &amp; compareable to HLTV2.0</t>
  </si>
  <si>
    <t>RatingG1.3</t>
  </si>
  <si>
    <t>Comparing with HLTV2.0, average &amp; bad players from 1.2 is same, good/best players 1.1 is same. Think this is due to 1.2 being averaged to 1.00, also KAST not included.KAST is a little redundant so better = better worse = worse.</t>
  </si>
  <si>
    <t>1.3 no longer averages to 1.00, also has framework for saving+trading. Punished a little for saving, ameliorated for being traded a little</t>
  </si>
  <si>
    <t>S</t>
  </si>
  <si>
    <t>TD</t>
  </si>
  <si>
    <t>TDPR</t>
  </si>
  <si>
    <t>SPR</t>
  </si>
  <si>
    <t>RatingG1.3={(kpr/2)+[1-(dpr-(.25tdpr+.5spr)]+(adr/200)+(efr/18)}</t>
  </si>
  <si>
    <t>MKPR</t>
  </si>
  <si>
    <t>MK</t>
  </si>
  <si>
    <t>OK</t>
  </si>
  <si>
    <t>OA</t>
  </si>
  <si>
    <t>OKPR</t>
  </si>
  <si>
    <t>OAR%</t>
  </si>
  <si>
    <t>OKS%</t>
  </si>
  <si>
    <t>RatingG1.4={0.5*[(kpr-okpr)+(1.5*okpr)+mkpr]+[1-(dpr-(.25tdpr+.5spr)]+(adr/200)+(efr/18)}</t>
  </si>
  <si>
    <t>Rating1.4</t>
  </si>
  <si>
    <t>Rating1.5</t>
  </si>
  <si>
    <t>Rating1.5ify</t>
  </si>
  <si>
    <t>1.4 -  entires</t>
  </si>
  <si>
    <t>1.5 - openers, multis, general readjustments to weight in certain stats</t>
  </si>
  <si>
    <t>Rating1.5=[0.5*(kpr-okpr+1.25*okpr)+(mkpr/3)-(dpr-.2tdpr+.5spr)+(adr/250)+(efr/18)]+1</t>
  </si>
  <si>
    <t>Rating1.5ify=[0.5*(kpr-okpr+1.25*okpr)+(mkpr/3)-(dpr-.2tdpr+.5spr)+(adr/250)+(efr/18)]*10</t>
  </si>
  <si>
    <t>1v1</t>
  </si>
  <si>
    <t>1v2</t>
  </si>
  <si>
    <t>1v1PR</t>
  </si>
  <si>
    <t>1v2PR</t>
  </si>
  <si>
    <t>EVP</t>
  </si>
  <si>
    <t>PadRating - Added clutches + other readjustments. Think this is the rating. Seems similar to HLTV2.0, also feels pretty good when ordering players in how good they are + the difference between them.</t>
  </si>
  <si>
    <t>3rd</t>
  </si>
  <si>
    <t>4th</t>
  </si>
  <si>
    <t>PadRating=[0.5*(kpr-okpr+1.2*okpr)+(mkpr/3)+((.25*1v1PR+1v2PR)/5)-(dpr-.15tdpr+.5spr)+(adr/250)+(efr/50)]+1</t>
  </si>
  <si>
    <t>1st</t>
  </si>
  <si>
    <t>2nd</t>
  </si>
  <si>
    <t>swny</t>
  </si>
  <si>
    <t>jsad</t>
  </si>
  <si>
    <t>nate</t>
  </si>
  <si>
    <t>MVP</t>
  </si>
  <si>
    <t>ODPR</t>
  </si>
  <si>
    <t>PadRating1.1</t>
  </si>
  <si>
    <t>PadRating1.1=[0.5*(kpr+.25okpr)+(mkpr/3)+((.25*1v1PR+1v2PR)/4)-(dpr+.2odpr-.15tdpr+.5spr)+(adr/225)+(efr/16)]+1</t>
  </si>
  <si>
    <t>ethan</t>
  </si>
  <si>
    <t>FINALS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</si>
</sst>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8"/>
      <name val="Aptos Narrow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4D05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00B05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0">
    <xf numFmtId="0" fontId="0" fillId="0" borderId="0" xfId="0" applyFont="1" applyAlignment="1"/>
    <xf numFmtId="0" fontId="0" fillId="0" borderId="0" xfId="0" applyFont="1" applyBorder="1" applyAlignment="1"/>
    <xf numFmtId="2" fontId="0" fillId="0" borderId="0" xfId="0" applyNumberFormat="1" applyFont="1" applyAlignment="1"/>
    <xf numFmtId="0" fontId="11" fillId="0" borderId="0" xfId="0" applyFont="1" applyBorder="1" applyAlignment="1"/>
    <xf numFmtId="0" fontId="11" fillId="0" borderId="0" xfId="0" applyFont="1" applyAlignment="1"/>
    <xf numFmtId="2" fontId="0" fillId="16" borderId="0" xfId="0" applyNumberFormat="1" applyFont="1" applyFill="1" applyAlignment="1"/>
    <xf numFmtId="0" fontId="11" fillId="0" borderId="1" xfId="0" applyFont="1" applyFill="1" applyBorder="1" applyAlignment="1"/>
    <xf numFmtId="0" fontId="10" fillId="0" borderId="0" xfId="0" applyFont="1" applyBorder="1" applyAlignment="1"/>
    <xf numFmtId="0" fontId="10" fillId="16" borderId="0" xfId="0" applyFont="1" applyFill="1" applyAlignment="1"/>
    <xf numFmtId="0" fontId="10" fillId="17" borderId="0" xfId="0" applyFont="1" applyFill="1" applyAlignment="1"/>
    <xf numFmtId="2" fontId="0" fillId="17" borderId="0" xfId="0" applyNumberFormat="1" applyFont="1" applyFill="1" applyAlignment="1"/>
    <xf numFmtId="0" fontId="10" fillId="0" borderId="0" xfId="0" applyFont="1" applyFill="1" applyAlignment="1"/>
    <xf numFmtId="2" fontId="0" fillId="0" borderId="0" xfId="0" applyNumberFormat="1" applyFont="1" applyFill="1" applyAlignment="1"/>
    <xf numFmtId="0" fontId="9" fillId="0" borderId="1" xfId="0" applyFont="1" applyFill="1" applyBorder="1" applyAlignment="1"/>
    <xf numFmtId="0" fontId="9" fillId="18" borderId="0" xfId="0" applyFont="1" applyFill="1" applyAlignment="1"/>
    <xf numFmtId="2" fontId="0" fillId="18" borderId="0" xfId="0" applyNumberFormat="1" applyFont="1" applyFill="1" applyAlignment="1"/>
    <xf numFmtId="0" fontId="8" fillId="0" borderId="1" xfId="0" applyFont="1" applyFill="1" applyBorder="1" applyAlignment="1"/>
    <xf numFmtId="0" fontId="8" fillId="19" borderId="0" xfId="0" applyFont="1" applyFill="1" applyAlignment="1"/>
    <xf numFmtId="2" fontId="0" fillId="19" borderId="0" xfId="0" applyNumberFormat="1" applyFont="1" applyFill="1" applyAlignment="1"/>
    <xf numFmtId="0" fontId="8" fillId="20" borderId="0" xfId="0" applyFont="1" applyFill="1" applyAlignment="1"/>
    <xf numFmtId="2" fontId="0" fillId="20" borderId="0" xfId="0" applyNumberFormat="1" applyFont="1" applyFill="1" applyAlignment="1"/>
    <xf numFmtId="0" fontId="8" fillId="0" borderId="0" xfId="0" applyFont="1" applyAlignment="1"/>
    <xf numFmtId="0" fontId="8" fillId="21" borderId="0" xfId="0" applyFont="1" applyFill="1" applyAlignment="1"/>
    <xf numFmtId="2" fontId="0" fillId="21" borderId="0" xfId="0" applyNumberFormat="1" applyFont="1" applyFill="1" applyAlignment="1"/>
    <xf numFmtId="0" fontId="7" fillId="0" borderId="1" xfId="0" applyFont="1" applyFill="1" applyBorder="1" applyAlignment="1"/>
    <xf numFmtId="0" fontId="7" fillId="0" borderId="0" xfId="0" applyFont="1" applyAlignment="1"/>
    <xf numFmtId="0" fontId="12" fillId="6" borderId="0" xfId="0" applyFont="1" applyFill="1" applyAlignment="1">
      <alignment horizontal="center"/>
    </xf>
    <xf numFmtId="0" fontId="13" fillId="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16" fontId="14" fillId="3" borderId="1" xfId="0" applyNumberFormat="1" applyFont="1" applyFill="1" applyBorder="1" applyAlignment="1">
      <alignment horizontal="center"/>
    </xf>
    <xf numFmtId="16" fontId="15" fillId="3" borderId="1" xfId="0" applyNumberFormat="1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14" fillId="15" borderId="1" xfId="0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/>
    </xf>
    <xf numFmtId="0" fontId="14" fillId="14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0" fillId="0" borderId="1" xfId="0" applyFont="1" applyBorder="1" applyAlignment="1"/>
    <xf numFmtId="0" fontId="0" fillId="6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2" fontId="14" fillId="12" borderId="1" xfId="0" applyNumberFormat="1" applyFont="1" applyFill="1" applyBorder="1" applyAlignment="1">
      <alignment horizontal="center"/>
    </xf>
    <xf numFmtId="2" fontId="14" fillId="13" borderId="1" xfId="0" applyNumberFormat="1" applyFont="1" applyFill="1" applyBorder="1" applyAlignment="1">
      <alignment horizontal="center"/>
    </xf>
    <xf numFmtId="2" fontId="14" fillId="10" borderId="1" xfId="0" applyNumberFormat="1" applyFont="1" applyFill="1" applyBorder="1" applyAlignment="1">
      <alignment horizontal="center"/>
    </xf>
    <xf numFmtId="2" fontId="14" fillId="11" borderId="1" xfId="0" applyNumberFormat="1" applyFont="1" applyFill="1" applyBorder="1" applyAlignment="1">
      <alignment horizontal="center"/>
    </xf>
    <xf numFmtId="2" fontId="14" fillId="15" borderId="1" xfId="0" applyNumberFormat="1" applyFont="1" applyFill="1" applyBorder="1" applyAlignment="1">
      <alignment horizontal="center"/>
    </xf>
    <xf numFmtId="2" fontId="14" fillId="14" borderId="1" xfId="0" applyNumberFormat="1" applyFont="1" applyFill="1" applyBorder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2" fontId="0" fillId="22" borderId="0" xfId="0" applyNumberFormat="1" applyFont="1" applyFill="1" applyAlignment="1"/>
    <xf numFmtId="0" fontId="5" fillId="0" borderId="1" xfId="0" applyFont="1" applyFill="1" applyBorder="1" applyAlignment="1"/>
    <xf numFmtId="0" fontId="5" fillId="22" borderId="0" xfId="0" applyFont="1" applyFill="1" applyAlignment="1"/>
    <xf numFmtId="0" fontId="5" fillId="23" borderId="0" xfId="0" applyFont="1" applyFill="1" applyAlignment="1"/>
    <xf numFmtId="2" fontId="0" fillId="23" borderId="0" xfId="0" applyNumberFormat="1" applyFont="1" applyFill="1" applyAlignment="1"/>
    <xf numFmtId="0" fontId="5" fillId="24" borderId="0" xfId="0" applyFont="1" applyFill="1" applyAlignment="1"/>
    <xf numFmtId="2" fontId="0" fillId="24" borderId="0" xfId="0" applyNumberFormat="1" applyFont="1" applyFill="1" applyAlignment="1"/>
    <xf numFmtId="0" fontId="5" fillId="0" borderId="0" xfId="0" applyFont="1" applyAlignment="1"/>
    <xf numFmtId="0" fontId="4" fillId="0" borderId="1" xfId="0" applyFont="1" applyFill="1" applyBorder="1" applyAlignment="1"/>
    <xf numFmtId="0" fontId="12" fillId="25" borderId="0" xfId="0" applyFont="1" applyFill="1" applyAlignment="1">
      <alignment horizontal="center"/>
    </xf>
    <xf numFmtId="2" fontId="0" fillId="25" borderId="1" xfId="0" applyNumberFormat="1" applyFont="1" applyFill="1" applyBorder="1" applyAlignment="1"/>
    <xf numFmtId="2" fontId="15" fillId="26" borderId="1" xfId="0" applyNumberFormat="1" applyFont="1" applyFill="1" applyBorder="1" applyAlignment="1">
      <alignment horizontal="right"/>
    </xf>
    <xf numFmtId="2" fontId="0" fillId="0" borderId="0" xfId="0" applyNumberFormat="1" applyFont="1" applyBorder="1" applyAlignment="1"/>
    <xf numFmtId="2" fontId="0" fillId="0" borderId="1" xfId="0" applyNumberFormat="1" applyFont="1" applyBorder="1" applyAlignment="1"/>
    <xf numFmtId="0" fontId="3" fillId="0" borderId="0" xfId="0" applyFont="1" applyAlignment="1"/>
    <xf numFmtId="0" fontId="15" fillId="3" borderId="1" xfId="0" applyFont="1" applyFill="1" applyBorder="1" applyAlignment="1">
      <alignment horizontal="center"/>
    </xf>
    <xf numFmtId="2" fontId="0" fillId="25" borderId="0" xfId="0" applyNumberFormat="1" applyFont="1" applyFill="1" applyBorder="1" applyAlignment="1"/>
    <xf numFmtId="0" fontId="0" fillId="0" borderId="1" xfId="0" applyFont="1" applyFill="1" applyBorder="1" applyAlignment="1"/>
    <xf numFmtId="0" fontId="2" fillId="0" borderId="1" xfId="0" applyFont="1" applyFill="1" applyBorder="1" applyAlignment="1"/>
    <xf numFmtId="0" fontId="0" fillId="0" borderId="0" xfId="0" applyFont="1" applyFill="1" applyBorder="1" applyAlignment="1"/>
    <xf numFmtId="0" fontId="8" fillId="0" borderId="0" xfId="0" applyFont="1" applyFill="1" applyAlignment="1"/>
    <xf numFmtId="2" fontId="8" fillId="0" borderId="0" xfId="0" applyNumberFormat="1" applyFont="1" applyFill="1" applyBorder="1" applyAlignment="1"/>
    <xf numFmtId="0" fontId="0" fillId="0" borderId="0" xfId="0" applyFont="1" applyFill="1" applyAlignment="1"/>
    <xf numFmtId="2" fontId="15" fillId="0" borderId="1" xfId="0" applyNumberFormat="1" applyFont="1" applyFill="1" applyBorder="1" applyAlignment="1">
      <alignment horizontal="right"/>
    </xf>
    <xf numFmtId="0" fontId="1" fillId="0" borderId="1" xfId="0" applyFont="1" applyFill="1" applyBorder="1" applyAlignment="1"/>
    <xf numFmtId="2" fontId="1" fillId="0" borderId="0" xfId="0" applyNumberFormat="1" applyFont="1" applyAlignment="1">
      <alignment horizontal="center"/>
    </xf>
    <xf numFmtId="2" fontId="0" fillId="0" borderId="0" xfId="0" applyNumberFormat="1" applyFont="1" applyFill="1" applyBorder="1" applyAlignment="1"/>
    <xf numFmtId="2" fontId="0" fillId="0" borderId="1" xfId="0" applyNumberFormat="1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colors>
    <mruColors>
      <color rgb="FF8BD355"/>
      <color rgb="FF64D056"/>
      <color rgb="FF92D050"/>
      <color rgb="FF6EC72B"/>
      <color rgb="FF90DB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EAA08566-58A1-49C4-9FAE-484FED03B69C}"/>
            </a:ext>
          </a:extLst>
        </xdr:cNvPr>
        <xdr:cNvSpPr txBox="1"/>
      </xdr:nvSpPr>
      <xdr:spPr>
        <a:xfrm>
          <a:off x="118205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10" name="Shape 3">
          <a:extLst>
            <a:ext uri="{FF2B5EF4-FFF2-40B4-BE49-F238E27FC236}">
              <a16:creationId xmlns:a16="http://schemas.microsoft.com/office/drawing/2014/main" id="{E88F5EC3-F573-465B-BE60-05C33BC21944}"/>
            </a:ext>
          </a:extLst>
        </xdr:cNvPr>
        <xdr:cNvSpPr txBox="1"/>
      </xdr:nvSpPr>
      <xdr:spPr>
        <a:xfrm>
          <a:off x="13296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335AED18-D6D4-43DD-8E1E-D0B6B847A147}"/>
            </a:ext>
          </a:extLst>
        </xdr:cNvPr>
        <xdr:cNvSpPr txBox="1"/>
      </xdr:nvSpPr>
      <xdr:spPr>
        <a:xfrm>
          <a:off x="140112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22AF439A-2E7D-4AFD-A804-961A4135D038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6" name="Shape 3">
          <a:extLst>
            <a:ext uri="{FF2B5EF4-FFF2-40B4-BE49-F238E27FC236}">
              <a16:creationId xmlns:a16="http://schemas.microsoft.com/office/drawing/2014/main" id="{2DCF781B-0342-4603-A8F7-3EF280FA9F68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F54AE1E9-6A63-4D28-AE27-C819A9317700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8" name="Shape 3">
          <a:extLst>
            <a:ext uri="{FF2B5EF4-FFF2-40B4-BE49-F238E27FC236}">
              <a16:creationId xmlns:a16="http://schemas.microsoft.com/office/drawing/2014/main" id="{85C5881B-09D0-4EA5-86DA-5DB54E6D15E2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15" name="Shape 3">
          <a:extLst>
            <a:ext uri="{FF2B5EF4-FFF2-40B4-BE49-F238E27FC236}">
              <a16:creationId xmlns:a16="http://schemas.microsoft.com/office/drawing/2014/main" id="{5A047509-F79F-42E4-9B29-9AAA317DF422}"/>
            </a:ext>
          </a:extLst>
        </xdr:cNvPr>
        <xdr:cNvSpPr txBox="1"/>
      </xdr:nvSpPr>
      <xdr:spPr>
        <a:xfrm>
          <a:off x="105441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43</xdr:col>
      <xdr:colOff>0</xdr:colOff>
      <xdr:row>15</xdr:row>
      <xdr:rowOff>0</xdr:rowOff>
    </xdr:from>
    <xdr:ext cx="38100" cy="171450"/>
    <xdr:sp macro="" textlink="">
      <xdr:nvSpPr>
        <xdr:cNvPr id="16" name="Shape 3">
          <a:extLst>
            <a:ext uri="{FF2B5EF4-FFF2-40B4-BE49-F238E27FC236}">
              <a16:creationId xmlns:a16="http://schemas.microsoft.com/office/drawing/2014/main" id="{87B574E1-C57A-4F7B-9CA8-C121D1CDACAE}"/>
            </a:ext>
          </a:extLst>
        </xdr:cNvPr>
        <xdr:cNvSpPr txBox="1"/>
      </xdr:nvSpPr>
      <xdr:spPr>
        <a:xfrm>
          <a:off x="1054417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44</xdr:col>
      <xdr:colOff>0</xdr:colOff>
      <xdr:row>15</xdr:row>
      <xdr:rowOff>0</xdr:rowOff>
    </xdr:from>
    <xdr:ext cx="38100" cy="171450"/>
    <xdr:sp macro="" textlink="">
      <xdr:nvSpPr>
        <xdr:cNvPr id="17" name="Shape 3">
          <a:extLst>
            <a:ext uri="{FF2B5EF4-FFF2-40B4-BE49-F238E27FC236}">
              <a16:creationId xmlns:a16="http://schemas.microsoft.com/office/drawing/2014/main" id="{0697BFEB-3BB4-44B7-ADEA-6C229F5D4E14}"/>
            </a:ext>
          </a:extLst>
        </xdr:cNvPr>
        <xdr:cNvSpPr txBox="1"/>
      </xdr:nvSpPr>
      <xdr:spPr>
        <a:xfrm>
          <a:off x="112585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32</xdr:col>
      <xdr:colOff>514350</xdr:colOff>
      <xdr:row>15</xdr:row>
      <xdr:rowOff>0</xdr:rowOff>
    </xdr:from>
    <xdr:ext cx="38100" cy="171450"/>
    <xdr:sp macro="" textlink="">
      <xdr:nvSpPr>
        <xdr:cNvPr id="18" name="Shape 3">
          <a:extLst>
            <a:ext uri="{FF2B5EF4-FFF2-40B4-BE49-F238E27FC236}">
              <a16:creationId xmlns:a16="http://schemas.microsoft.com/office/drawing/2014/main" id="{F3E1B38F-0D8E-459D-AA2F-05E2D71EF6F3}"/>
            </a:ext>
          </a:extLst>
        </xdr:cNvPr>
        <xdr:cNvSpPr txBox="1"/>
      </xdr:nvSpPr>
      <xdr:spPr>
        <a:xfrm>
          <a:off x="117729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39</xdr:col>
      <xdr:colOff>0</xdr:colOff>
      <xdr:row>15</xdr:row>
      <xdr:rowOff>0</xdr:rowOff>
    </xdr:from>
    <xdr:ext cx="38100" cy="1714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8AC4A538-FAEC-4279-8F3D-A247AC4FF24B}"/>
            </a:ext>
          </a:extLst>
        </xdr:cNvPr>
        <xdr:cNvSpPr txBox="1"/>
      </xdr:nvSpPr>
      <xdr:spPr>
        <a:xfrm>
          <a:off x="120015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38</xdr:col>
      <xdr:colOff>0</xdr:colOff>
      <xdr:row>15</xdr:row>
      <xdr:rowOff>0</xdr:rowOff>
    </xdr:from>
    <xdr:ext cx="38100" cy="1714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BDDABD14-9707-43CB-99EB-5918181E4D58}"/>
            </a:ext>
          </a:extLst>
        </xdr:cNvPr>
        <xdr:cNvSpPr txBox="1"/>
      </xdr:nvSpPr>
      <xdr:spPr>
        <a:xfrm>
          <a:off x="109823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38</xdr:col>
      <xdr:colOff>0</xdr:colOff>
      <xdr:row>15</xdr:row>
      <xdr:rowOff>0</xdr:rowOff>
    </xdr:from>
    <xdr:ext cx="38100" cy="17145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759097B9-24E6-45E7-A378-27B9E5425424}"/>
            </a:ext>
          </a:extLst>
        </xdr:cNvPr>
        <xdr:cNvSpPr txBox="1"/>
      </xdr:nvSpPr>
      <xdr:spPr>
        <a:xfrm>
          <a:off x="109823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13" name="Shape 3">
          <a:extLst>
            <a:ext uri="{FF2B5EF4-FFF2-40B4-BE49-F238E27FC236}">
              <a16:creationId xmlns:a16="http://schemas.microsoft.com/office/drawing/2014/main" id="{D194B1EA-88C3-49A6-A37D-C1D4CA172465}"/>
            </a:ext>
          </a:extLst>
        </xdr:cNvPr>
        <xdr:cNvSpPr txBox="1"/>
      </xdr:nvSpPr>
      <xdr:spPr>
        <a:xfrm>
          <a:off x="109347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37</xdr:col>
      <xdr:colOff>0</xdr:colOff>
      <xdr:row>15</xdr:row>
      <xdr:rowOff>0</xdr:rowOff>
    </xdr:from>
    <xdr:ext cx="38100" cy="171450"/>
    <xdr:sp macro="" textlink="">
      <xdr:nvSpPr>
        <xdr:cNvPr id="14" name="Shape 3">
          <a:extLst>
            <a:ext uri="{FF2B5EF4-FFF2-40B4-BE49-F238E27FC236}">
              <a16:creationId xmlns:a16="http://schemas.microsoft.com/office/drawing/2014/main" id="{48E09B9E-532B-459A-AE9A-64AD8DBA51B2}"/>
            </a:ext>
          </a:extLst>
        </xdr:cNvPr>
        <xdr:cNvSpPr txBox="1"/>
      </xdr:nvSpPr>
      <xdr:spPr>
        <a:xfrm>
          <a:off x="1093470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36</xdr:col>
      <xdr:colOff>0</xdr:colOff>
      <xdr:row>15</xdr:row>
      <xdr:rowOff>0</xdr:rowOff>
    </xdr:from>
    <xdr:ext cx="38100" cy="171450"/>
    <xdr:sp macro="" textlink="">
      <xdr:nvSpPr>
        <xdr:cNvPr id="19" name="Shape 3">
          <a:extLst>
            <a:ext uri="{FF2B5EF4-FFF2-40B4-BE49-F238E27FC236}">
              <a16:creationId xmlns:a16="http://schemas.microsoft.com/office/drawing/2014/main" id="{CDBDA33C-07FA-4F39-8384-B6147B73EAE9}"/>
            </a:ext>
          </a:extLst>
        </xdr:cNvPr>
        <xdr:cNvSpPr txBox="1"/>
      </xdr:nvSpPr>
      <xdr:spPr>
        <a:xfrm>
          <a:off x="116300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36</xdr:col>
      <xdr:colOff>0</xdr:colOff>
      <xdr:row>15</xdr:row>
      <xdr:rowOff>0</xdr:rowOff>
    </xdr:from>
    <xdr:ext cx="38100" cy="171450"/>
    <xdr:sp macro="" textlink="">
      <xdr:nvSpPr>
        <xdr:cNvPr id="20" name="Shape 3">
          <a:extLst>
            <a:ext uri="{FF2B5EF4-FFF2-40B4-BE49-F238E27FC236}">
              <a16:creationId xmlns:a16="http://schemas.microsoft.com/office/drawing/2014/main" id="{2A7E7D40-E50E-4CB9-AE97-470FD0E86702}"/>
            </a:ext>
          </a:extLst>
        </xdr:cNvPr>
        <xdr:cNvSpPr txBox="1"/>
      </xdr:nvSpPr>
      <xdr:spPr>
        <a:xfrm>
          <a:off x="11630025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36</xdr:col>
      <xdr:colOff>0</xdr:colOff>
      <xdr:row>16</xdr:row>
      <xdr:rowOff>0</xdr:rowOff>
    </xdr:from>
    <xdr:ext cx="38100" cy="171450"/>
    <xdr:sp macro="" textlink="">
      <xdr:nvSpPr>
        <xdr:cNvPr id="23" name="Shape 3">
          <a:extLst>
            <a:ext uri="{FF2B5EF4-FFF2-40B4-BE49-F238E27FC236}">
              <a16:creationId xmlns:a16="http://schemas.microsoft.com/office/drawing/2014/main" id="{236411CA-F726-4AAA-9873-ABE23E2708A3}"/>
            </a:ext>
          </a:extLst>
        </xdr:cNvPr>
        <xdr:cNvSpPr txBox="1"/>
      </xdr:nvSpPr>
      <xdr:spPr>
        <a:xfrm>
          <a:off x="146113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36</xdr:col>
      <xdr:colOff>0</xdr:colOff>
      <xdr:row>16</xdr:row>
      <xdr:rowOff>0</xdr:rowOff>
    </xdr:from>
    <xdr:ext cx="38100" cy="171450"/>
    <xdr:sp macro="" textlink="">
      <xdr:nvSpPr>
        <xdr:cNvPr id="24" name="Shape 3">
          <a:extLst>
            <a:ext uri="{FF2B5EF4-FFF2-40B4-BE49-F238E27FC236}">
              <a16:creationId xmlns:a16="http://schemas.microsoft.com/office/drawing/2014/main" id="{3CCB3FC7-1A9A-46AA-8713-D6A7C465FCB4}"/>
            </a:ext>
          </a:extLst>
        </xdr:cNvPr>
        <xdr:cNvSpPr txBox="1"/>
      </xdr:nvSpPr>
      <xdr:spPr>
        <a:xfrm>
          <a:off x="14611350" y="2857500"/>
          <a:ext cx="38100" cy="171450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0"/>
  <sheetViews>
    <sheetView tabSelected="1" zoomScaleNormal="100" workbookViewId="0">
      <selection activeCell="Q22" sqref="Q22"/>
    </sheetView>
  </sheetViews>
  <sheetFormatPr defaultColWidth="12.5703125" defaultRowHeight="15" customHeight="1" x14ac:dyDescent="0.25"/>
  <cols>
    <col min="1" max="1" width="7.140625" customWidth="1"/>
    <col min="2" max="2" width="8.5703125" customWidth="1"/>
    <col min="3" max="3" width="5.7109375" customWidth="1"/>
    <col min="4" max="4" width="5.42578125" customWidth="1"/>
    <col min="5" max="5" width="5.28515625" customWidth="1"/>
    <col min="6" max="6" width="5.5703125" customWidth="1"/>
    <col min="7" max="8" width="3.85546875" bestFit="1" customWidth="1"/>
    <col min="9" max="9" width="8.5703125" customWidth="1"/>
    <col min="10" max="10" width="5.85546875" customWidth="1"/>
    <col min="11" max="11" width="6.140625" customWidth="1"/>
    <col min="12" max="12" width="8.5703125" customWidth="1"/>
    <col min="13" max="13" width="7.28515625" customWidth="1"/>
    <col min="14" max="14" width="9.85546875" customWidth="1"/>
    <col min="15" max="15" width="8.85546875" customWidth="1"/>
    <col min="16" max="21" width="8.5703125" customWidth="1"/>
    <col min="22" max="23" width="6.140625" bestFit="1" customWidth="1"/>
    <col min="24" max="24" width="8.5703125" customWidth="1"/>
    <col min="25" max="25" width="5.5703125" bestFit="1" customWidth="1"/>
    <col min="26" max="26" width="6" bestFit="1" customWidth="1"/>
    <col min="27" max="27" width="5" bestFit="1" customWidth="1"/>
    <col min="28" max="31" width="8.5703125" customWidth="1"/>
    <col min="32" max="32" width="10.28515625" customWidth="1"/>
    <col min="33" max="33" width="8.5703125" customWidth="1"/>
    <col min="34" max="34" width="12.5703125" bestFit="1" customWidth="1"/>
    <col min="35" max="36" width="9.140625" bestFit="1" customWidth="1"/>
    <col min="37" max="39" width="10.42578125" bestFit="1" customWidth="1"/>
    <col min="40" max="40" width="7.85546875" bestFit="1" customWidth="1"/>
    <col min="41" max="41" width="11.140625" bestFit="1" customWidth="1"/>
    <col min="42" max="42" width="8.5703125" bestFit="1" customWidth="1"/>
    <col min="43" max="45" width="7.5703125" bestFit="1" customWidth="1"/>
    <col min="46" max="46" width="8.7109375" bestFit="1" customWidth="1"/>
  </cols>
  <sheetData>
    <row r="1" spans="1:46" x14ac:dyDescent="0.25">
      <c r="A1" s="26" t="s">
        <v>0</v>
      </c>
      <c r="B1" s="26" t="s">
        <v>1</v>
      </c>
      <c r="C1" s="26" t="s">
        <v>2</v>
      </c>
      <c r="D1" s="60" t="s">
        <v>68</v>
      </c>
      <c r="E1" s="60" t="s">
        <v>69</v>
      </c>
      <c r="F1" s="50" t="s">
        <v>67</v>
      </c>
      <c r="G1" s="50" t="s">
        <v>81</v>
      </c>
      <c r="H1" s="50" t="s">
        <v>82</v>
      </c>
      <c r="I1" s="26" t="s">
        <v>3</v>
      </c>
      <c r="J1" s="50" t="s">
        <v>62</v>
      </c>
      <c r="K1" s="50" t="s">
        <v>61</v>
      </c>
      <c r="L1" s="26" t="s">
        <v>4</v>
      </c>
      <c r="M1" s="27" t="s">
        <v>5</v>
      </c>
      <c r="N1" s="26" t="s">
        <v>6</v>
      </c>
      <c r="O1" s="26" t="s">
        <v>7</v>
      </c>
      <c r="P1" s="28" t="s">
        <v>8</v>
      </c>
      <c r="Q1" s="59" t="s">
        <v>70</v>
      </c>
      <c r="R1" s="87" t="s">
        <v>96</v>
      </c>
      <c r="S1" s="59" t="s">
        <v>71</v>
      </c>
      <c r="T1" s="61" t="s">
        <v>72</v>
      </c>
      <c r="U1" s="51" t="s">
        <v>66</v>
      </c>
      <c r="V1" s="51" t="s">
        <v>83</v>
      </c>
      <c r="W1" s="51" t="s">
        <v>84</v>
      </c>
      <c r="X1" s="28" t="s">
        <v>9</v>
      </c>
      <c r="Y1" s="51" t="s">
        <v>63</v>
      </c>
      <c r="Z1" s="51" t="s">
        <v>64</v>
      </c>
      <c r="AA1" s="28" t="s">
        <v>10</v>
      </c>
      <c r="AB1" s="28" t="s">
        <v>11</v>
      </c>
      <c r="AC1" s="28" t="s">
        <v>12</v>
      </c>
      <c r="AD1" s="28" t="s">
        <v>13</v>
      </c>
      <c r="AE1" s="28" t="s">
        <v>14</v>
      </c>
      <c r="AF1" s="26" t="s">
        <v>15</v>
      </c>
      <c r="AG1" s="26" t="s">
        <v>16</v>
      </c>
      <c r="AH1" s="71" t="s">
        <v>97</v>
      </c>
      <c r="AI1" s="65" t="s">
        <v>75</v>
      </c>
      <c r="AJ1" s="64" t="s">
        <v>74</v>
      </c>
      <c r="AK1" s="22" t="s">
        <v>58</v>
      </c>
      <c r="AL1" s="19" t="s">
        <v>54</v>
      </c>
      <c r="AM1" s="17" t="s">
        <v>52</v>
      </c>
      <c r="AN1" s="14" t="s">
        <v>46</v>
      </c>
      <c r="AO1" s="67" t="s">
        <v>76</v>
      </c>
      <c r="AP1" s="9" t="s">
        <v>42</v>
      </c>
      <c r="AQ1" s="4" t="s">
        <v>35</v>
      </c>
      <c r="AR1" s="11" t="s">
        <v>38</v>
      </c>
      <c r="AS1" s="11" t="s">
        <v>39</v>
      </c>
      <c r="AT1" s="8" t="s">
        <v>40</v>
      </c>
    </row>
    <row r="2" spans="1:46" x14ac:dyDescent="0.25">
      <c r="A2" s="29" t="s">
        <v>21</v>
      </c>
      <c r="B2" s="29">
        <v>123</v>
      </c>
      <c r="C2" s="29">
        <v>62</v>
      </c>
      <c r="D2" s="29">
        <v>47</v>
      </c>
      <c r="E2" s="29">
        <v>75</v>
      </c>
      <c r="F2" s="29">
        <v>32</v>
      </c>
      <c r="G2" s="29">
        <v>21</v>
      </c>
      <c r="H2" s="29">
        <v>12</v>
      </c>
      <c r="I2" s="29">
        <v>79</v>
      </c>
      <c r="J2" s="29">
        <v>0</v>
      </c>
      <c r="K2" s="29">
        <v>0</v>
      </c>
      <c r="L2" s="29">
        <v>440</v>
      </c>
      <c r="M2" s="29">
        <v>44</v>
      </c>
      <c r="N2" s="29">
        <v>13031</v>
      </c>
      <c r="O2" s="29">
        <v>162</v>
      </c>
      <c r="P2" s="30">
        <f t="shared" ref="P2:R15" si="0">ROUND(IMDIV(B2,O2),2)</f>
        <v>0.76</v>
      </c>
      <c r="Q2" s="52">
        <f>(D2/O2)</f>
        <v>0.29012345679012347</v>
      </c>
      <c r="R2" s="30">
        <f>ROUND(IMDIV((E2-D2),O2),2)</f>
        <v>0.17</v>
      </c>
      <c r="S2" s="52">
        <f>(E2/O2)*100</f>
        <v>46.296296296296298</v>
      </c>
      <c r="T2" s="30">
        <f>ROUND((D2/E2)*100,2)</f>
        <v>62.67</v>
      </c>
      <c r="U2" s="52">
        <f>F2/O2</f>
        <v>0.19753086419753085</v>
      </c>
      <c r="V2" s="52">
        <f>G2/O2</f>
        <v>0.12962962962962962</v>
      </c>
      <c r="W2" s="52">
        <f>H2/O2</f>
        <v>7.407407407407407E-2</v>
      </c>
      <c r="X2" s="30">
        <f>ROUND(IMDIV(I2,O2),2)</f>
        <v>0.49</v>
      </c>
      <c r="Y2" s="30">
        <f>ROUND(IMDIV(J2,O2),2)</f>
        <v>0</v>
      </c>
      <c r="Z2" s="30">
        <f>ROUND(IMDIV(K2,O2),2)</f>
        <v>0</v>
      </c>
      <c r="AA2" s="30">
        <f>ROUND(IMDIV(L2,O2),2)</f>
        <v>2.72</v>
      </c>
      <c r="AB2" s="30">
        <f>ROUND(IMDIV(M2,O2),2)</f>
        <v>0.27</v>
      </c>
      <c r="AC2" s="30">
        <f>ROUND(IMDIV(B2,I2),2)</f>
        <v>1.56</v>
      </c>
      <c r="AD2" s="30">
        <f>ROUND(IMDIV(C2,B2),4)*100</f>
        <v>50.41</v>
      </c>
      <c r="AE2" s="30">
        <f>ROUND(IMDIV(N2,O2),2)</f>
        <v>80.44</v>
      </c>
      <c r="AF2" s="29" t="s">
        <v>90</v>
      </c>
      <c r="AG2" s="29" t="s">
        <v>95</v>
      </c>
      <c r="AH2" s="73">
        <f>(((P2+0.25*Q2)/2)+(U2/3)+0.25*((V2/4)+W2)-(X2+0.25*R2-0.15*Y2+0.5*Z2)+(AE2/225)+(AB2/16))+1</f>
        <v>1.3506155349794238</v>
      </c>
      <c r="AI2" s="66">
        <f>(((P2-Q2+1.25*Q2)/2)+(U2/3)-(X2-0.2*Y2+0.5*Z2)+(AE2/250)+(AB2/20))+1</f>
        <v>1.3273690534979423</v>
      </c>
      <c r="AJ2" s="62">
        <f>(((P2-Q2+1.25*Q2+U2)/2)+(1-(X2-0.25*Y2+0.5*Z2))+(AE2/200)+(AB2/18))</f>
        <v>1.442230864197531</v>
      </c>
      <c r="AK2" s="23">
        <f>((P2/2)+(1-(X2-0.25*Y2+0.5*Z2))+(AE2/200)+(AB2/18))</f>
        <v>1.3071999999999999</v>
      </c>
      <c r="AL2" s="20">
        <f>(((P2/2)+(1-X2)+(AE2/200)+(AB2/9)))/1.06</f>
        <v>1.2473584905660378</v>
      </c>
      <c r="AM2" s="18">
        <f>((P2/2)+(1-X2)+(AE2/200)+(AB2/9))</f>
        <v>1.3222</v>
      </c>
      <c r="AN2" s="15">
        <f>((P2/2)+(1-X2)+(AE2/200))</f>
        <v>1.2922</v>
      </c>
      <c r="AO2" s="68">
        <f>(((P2-Q2+1.25*Q2)/2)+(U2/3)-(X2-0.2*Y2+0.5*Z2)+(AE2/250)+(AB2/18))*10</f>
        <v>3.2886905349794238</v>
      </c>
      <c r="AP2" s="10">
        <f>(((P2-P12)-(X2-X12)+((AE2-AE12)/100))/2)*10</f>
        <v>0.12999999999999998</v>
      </c>
      <c r="AQ2" s="2">
        <f>(((P2-P12)-(X2-X12)+(AE2-AE12))/100)+1</f>
        <v>0.84779999999999989</v>
      </c>
      <c r="AR2" s="12">
        <f>((P2-P12)-(X2-X12)+((AE2-AE12)/100))*10</f>
        <v>0.25999999999999995</v>
      </c>
      <c r="AS2" s="12">
        <f>((P2-P12)-(X2-X12)+((AE2-AE12)/116))+1</f>
        <v>1.0472413793103448</v>
      </c>
      <c r="AT2" s="5">
        <f>(((P2-P12)-(X2-X12)+((AE2-AE12)/100))/2)+1</f>
        <v>1.0129999999999999</v>
      </c>
    </row>
    <row r="3" spans="1:46" x14ac:dyDescent="0.25">
      <c r="A3" s="29" t="s">
        <v>22</v>
      </c>
      <c r="B3" s="29">
        <v>100</v>
      </c>
      <c r="C3" s="29">
        <v>42</v>
      </c>
      <c r="D3" s="29">
        <v>45</v>
      </c>
      <c r="E3" s="29">
        <v>87</v>
      </c>
      <c r="F3" s="29">
        <v>22</v>
      </c>
      <c r="G3" s="29">
        <v>6</v>
      </c>
      <c r="H3" s="29">
        <v>9</v>
      </c>
      <c r="I3" s="29">
        <v>97</v>
      </c>
      <c r="J3" s="29">
        <v>5</v>
      </c>
      <c r="K3" s="29">
        <v>0</v>
      </c>
      <c r="L3" s="29">
        <v>409</v>
      </c>
      <c r="M3" s="29">
        <v>35</v>
      </c>
      <c r="N3" s="29">
        <v>12080</v>
      </c>
      <c r="O3" s="29">
        <v>162</v>
      </c>
      <c r="P3" s="30">
        <f t="shared" si="0"/>
        <v>0.62</v>
      </c>
      <c r="Q3" s="52">
        <f>(D3/O3)</f>
        <v>0.27777777777777779</v>
      </c>
      <c r="R3" s="30">
        <f t="shared" ref="R3:R15" si="1">ROUND(IMDIV((E3-D3),O3),2)</f>
        <v>0.26</v>
      </c>
      <c r="S3" s="52">
        <f>(E3/O3)*100</f>
        <v>53.703703703703709</v>
      </c>
      <c r="T3" s="30">
        <f>ROUND((D3/E3)*100,2)</f>
        <v>51.72</v>
      </c>
      <c r="U3" s="52">
        <f>F3/O3</f>
        <v>0.13580246913580246</v>
      </c>
      <c r="V3" s="52">
        <f>G3/O3</f>
        <v>3.7037037037037035E-2</v>
      </c>
      <c r="W3" s="52">
        <f>H3/O3</f>
        <v>5.5555555555555552E-2</v>
      </c>
      <c r="X3" s="30">
        <f>ROUND(IMDIV(I3,O3),2)</f>
        <v>0.6</v>
      </c>
      <c r="Y3" s="30">
        <f>ROUND(IMDIV(J3,O3),2)</f>
        <v>0.03</v>
      </c>
      <c r="Z3" s="30">
        <f>ROUND(IMDIV(K3,O3),2)</f>
        <v>0</v>
      </c>
      <c r="AA3" s="30">
        <f>ROUND(IMDIV(L3,O3),2)</f>
        <v>2.52</v>
      </c>
      <c r="AB3" s="30">
        <f>ROUND(IMDIV(M3,O3),2)</f>
        <v>0.22</v>
      </c>
      <c r="AC3" s="30">
        <f>ROUND(IMDIV(B3,I3),2)</f>
        <v>1.03</v>
      </c>
      <c r="AD3" s="30">
        <f>ROUND(IMDIV(C3,B3),4)*100</f>
        <v>42</v>
      </c>
      <c r="AE3" s="30">
        <f>ROUND(IMDIV(N3,O3),2)</f>
        <v>74.569999999999993</v>
      </c>
      <c r="AF3" s="29" t="s">
        <v>90</v>
      </c>
      <c r="AG3" s="29" t="s">
        <v>85</v>
      </c>
      <c r="AH3" s="73">
        <f t="shared" ref="AH3:AH15" si="2">(((P3+0.25*Q3)/2)+(U3/3)+0.25*((V3/4)+W3)-(X3+0.25*R3-0.15*Y3+0.5*Z3)+(AE3/225)+(AB3/16))+1</f>
        <v>1.0908656378600823</v>
      </c>
      <c r="AI3" s="66">
        <f>(((P3-Q3+1.25*Q3)/2)+(U3/3)-(X3-0.2*Y3+0.5*Z3)+(AE3/250)+(AB3/20))+1</f>
        <v>1.1052697119341564</v>
      </c>
      <c r="AJ3" s="62">
        <f>(((P3-Q3+1.25*Q3+U3)/2)+(1-(X3-0.25*Y3+0.5*Z3))+(AE3/200)+(AB3/18))</f>
        <v>1.2051956790123455</v>
      </c>
      <c r="AK3" s="23">
        <f>((P3/2)+(1-(X3-0.25*Y3+0.5*Z3))+(AE3/200)+(AB3/18))</f>
        <v>1.1025722222222221</v>
      </c>
      <c r="AL3" s="20">
        <f>(((P3/2)+(1-X3)+(AE3/200)+(AB3/9)))/1.06</f>
        <v>1.044617400419287</v>
      </c>
      <c r="AM3" s="18">
        <f>((P3/2)+(1-X3)+(AE3/200)+(AB3/9))</f>
        <v>1.1072944444444444</v>
      </c>
      <c r="AN3" s="15">
        <f>((P3/2)+(1-X3)+(AE3/200))</f>
        <v>1.0828499999999999</v>
      </c>
      <c r="AO3" s="68">
        <f>(((P3-Q3+1.25*Q3)/2)+(U3/3)-(X3-0.2*Y3+0.5*Z3)+(AE3/250)+(AB3/18))*10</f>
        <v>1.0649193415637861</v>
      </c>
      <c r="AP3" s="10">
        <f>(((P3-P14)-(X3-X14)+((AE3-AE14)/100))/2)*10</f>
        <v>4.18</v>
      </c>
      <c r="AQ3" s="2">
        <f>(((P3-P14)-(X3-X14)+(AE3-AE14))/100)+1</f>
        <v>1.3112999999999999</v>
      </c>
      <c r="AR3" s="12">
        <f>((P3-P14)-(X3-X14)+((AE3-AE14)/100))*10</f>
        <v>8.36</v>
      </c>
      <c r="AS3" s="12">
        <f>((P3-P14)-(X3-X14)+((AE3-AE14)/116))+1</f>
        <v>1.7937931034482759</v>
      </c>
      <c r="AT3" s="5">
        <f>(((P3-P14)-(X3-X14)+((AE3-AE14)/100))/2)+1</f>
        <v>1.4179999999999999</v>
      </c>
    </row>
    <row r="4" spans="1:46" x14ac:dyDescent="0.25">
      <c r="A4" s="34" t="s">
        <v>30</v>
      </c>
      <c r="B4" s="34">
        <v>100</v>
      </c>
      <c r="C4" s="34">
        <v>61</v>
      </c>
      <c r="D4" s="34">
        <v>44</v>
      </c>
      <c r="E4" s="34">
        <v>85</v>
      </c>
      <c r="F4" s="34">
        <v>26</v>
      </c>
      <c r="G4" s="34">
        <v>6</v>
      </c>
      <c r="H4" s="34">
        <v>13</v>
      </c>
      <c r="I4" s="34">
        <v>86</v>
      </c>
      <c r="J4" s="34">
        <v>6</v>
      </c>
      <c r="K4" s="34">
        <v>0</v>
      </c>
      <c r="L4" s="34">
        <v>512</v>
      </c>
      <c r="M4" s="34">
        <v>25</v>
      </c>
      <c r="N4" s="34">
        <v>11521</v>
      </c>
      <c r="O4" s="34">
        <v>146</v>
      </c>
      <c r="P4" s="35">
        <f t="shared" si="0"/>
        <v>0.68</v>
      </c>
      <c r="Q4" s="54">
        <f>(D4/O4)</f>
        <v>0.30136986301369861</v>
      </c>
      <c r="R4" s="35">
        <f t="shared" si="1"/>
        <v>0.28000000000000003</v>
      </c>
      <c r="S4" s="54">
        <f>(E4/O4)*100</f>
        <v>58.219178082191782</v>
      </c>
      <c r="T4" s="35">
        <f>ROUND((D4/E4)*100,2)</f>
        <v>51.76</v>
      </c>
      <c r="U4" s="54">
        <f>F4/O4</f>
        <v>0.17808219178082191</v>
      </c>
      <c r="V4" s="54">
        <f>G4/O4</f>
        <v>4.1095890410958902E-2</v>
      </c>
      <c r="W4" s="54">
        <f>H4/O4</f>
        <v>8.9041095890410954E-2</v>
      </c>
      <c r="X4" s="35">
        <f>ROUND(IMDIV(I4,O4),2)</f>
        <v>0.59</v>
      </c>
      <c r="Y4" s="35">
        <f>ROUND(IMDIV(J4,O4),2)</f>
        <v>0.04</v>
      </c>
      <c r="Z4" s="35">
        <f>ROUND(IMDIV(K4,O4),2)</f>
        <v>0</v>
      </c>
      <c r="AA4" s="35">
        <f>ROUND(IMDIV(L4,O4),2)</f>
        <v>3.51</v>
      </c>
      <c r="AB4" s="35">
        <f>ROUND(IMDIV(M4,O4),2)</f>
        <v>0.17</v>
      </c>
      <c r="AC4" s="35">
        <f>ROUND(IMDIV(B4,I4),2)</f>
        <v>1.1599999999999999</v>
      </c>
      <c r="AD4" s="35">
        <f>ROUND(IMDIV(C4,B4),4)*100</f>
        <v>61</v>
      </c>
      <c r="AE4" s="35">
        <f>ROUND(IMDIV(N4,O4),2)</f>
        <v>78.91</v>
      </c>
      <c r="AF4" s="36" t="s">
        <v>91</v>
      </c>
      <c r="AG4" s="34" t="s">
        <v>85</v>
      </c>
      <c r="AH4" s="73">
        <f t="shared" si="2"/>
        <v>1.1691968417047185</v>
      </c>
      <c r="AI4" s="66">
        <f>(((P4-Q4+1.25*Q4)/2)+(U4/3)-(X4-0.2*Y4+0.5*Z4)+(AE4/250)+(AB4/20))+1</f>
        <v>1.1791719634703197</v>
      </c>
      <c r="AJ4" s="62">
        <f>(((P4-Q4+1.25*Q4+U4)/2)+(1-(X4-0.25*Y4+0.5*Z4))+(AE4/200)+(AB4/18))</f>
        <v>1.2907067732115676</v>
      </c>
      <c r="AK4" s="23">
        <f>((P4/2)+(1-(X4-0.25*Y4+0.5*Z4))+(AE4/200)+(AB4/18))</f>
        <v>1.1639944444444443</v>
      </c>
      <c r="AL4" s="20">
        <f>(((P4/2)+(1-X4)+(AE4/200)+(AB4/9)))/1.06</f>
        <v>1.097583857442348</v>
      </c>
      <c r="AM4" s="18">
        <f>((P4/2)+(1-X4)+(AE4/200)+(AB4/9))</f>
        <v>1.1634388888888889</v>
      </c>
      <c r="AN4" s="15">
        <f>((P4/2)+(1-X4)+(AE4/200))</f>
        <v>1.14455</v>
      </c>
      <c r="AO4" s="68">
        <f>(((P4-Q4+1.25*Q4)/2)+(U4/3)-(X4-0.2*Y4+0.5*Z4)+(AE4/250)+(AB4/18))*10</f>
        <v>1.8011640791476411</v>
      </c>
      <c r="AP4" s="10">
        <f>(((P4-P17)-(X4-X17)+((AE4-AE17)/100))/2)*10</f>
        <v>1.9030000000000009</v>
      </c>
      <c r="AQ4" s="2">
        <f>(((P4-P17)-(X4-X17)+(AE4-AE17))/100)+1</f>
        <v>1.12815</v>
      </c>
      <c r="AR4" s="12">
        <f>((P4-P17)-(X4-X17)+((AE4-AE17)/100))*10</f>
        <v>3.8060000000000018</v>
      </c>
      <c r="AS4" s="12">
        <f>((P4-P17)-(X4-X17)+((AE4-AE17)/116))+1</f>
        <v>1.3632758620689658</v>
      </c>
      <c r="AT4" s="5">
        <f>(((P4-P17)-(X4-X17)+((AE4-AE17)/100))/2)+1</f>
        <v>1.1903000000000001</v>
      </c>
    </row>
    <row r="5" spans="1:46" x14ac:dyDescent="0.25">
      <c r="A5" s="34" t="s">
        <v>31</v>
      </c>
      <c r="B5" s="34">
        <v>97</v>
      </c>
      <c r="C5" s="34">
        <v>42</v>
      </c>
      <c r="D5" s="34">
        <v>32</v>
      </c>
      <c r="E5" s="34">
        <v>61</v>
      </c>
      <c r="F5" s="34">
        <v>29</v>
      </c>
      <c r="G5" s="34">
        <v>8</v>
      </c>
      <c r="H5" s="34">
        <v>11</v>
      </c>
      <c r="I5" s="34">
        <v>84</v>
      </c>
      <c r="J5" s="34">
        <v>4</v>
      </c>
      <c r="K5" s="34">
        <v>0</v>
      </c>
      <c r="L5" s="34">
        <v>431</v>
      </c>
      <c r="M5" s="34">
        <v>26</v>
      </c>
      <c r="N5" s="34">
        <v>11126</v>
      </c>
      <c r="O5" s="34">
        <v>146</v>
      </c>
      <c r="P5" s="35">
        <f t="shared" si="0"/>
        <v>0.66</v>
      </c>
      <c r="Q5" s="54">
        <f>(D5/O5)</f>
        <v>0.21917808219178081</v>
      </c>
      <c r="R5" s="35">
        <f t="shared" si="1"/>
        <v>0.2</v>
      </c>
      <c r="S5" s="54">
        <f>(E5/O5)*100</f>
        <v>41.780821917808218</v>
      </c>
      <c r="T5" s="35">
        <f>ROUND((D5/E5)*100,2)</f>
        <v>52.46</v>
      </c>
      <c r="U5" s="54">
        <f>F5/O5</f>
        <v>0.19863013698630136</v>
      </c>
      <c r="V5" s="54">
        <f>G5/O5</f>
        <v>5.4794520547945202E-2</v>
      </c>
      <c r="W5" s="54">
        <f>H5/O5</f>
        <v>7.5342465753424653E-2</v>
      </c>
      <c r="X5" s="35">
        <f>ROUND(IMDIV(I5,O5),2)</f>
        <v>0.57999999999999996</v>
      </c>
      <c r="Y5" s="35">
        <f>ROUND(IMDIV(J5,O5),2)</f>
        <v>0.03</v>
      </c>
      <c r="Z5" s="35">
        <f>ROUND(IMDIV(K5,O5),2)</f>
        <v>0</v>
      </c>
      <c r="AA5" s="35">
        <f>ROUND(IMDIV(L5,O5),2)</f>
        <v>2.95</v>
      </c>
      <c r="AB5" s="35">
        <f>ROUND(IMDIV(M5,O5),2)</f>
        <v>0.18</v>
      </c>
      <c r="AC5" s="35">
        <f>ROUND(IMDIV(B5,I5),2)</f>
        <v>1.1499999999999999</v>
      </c>
      <c r="AD5" s="35">
        <f>ROUND(IMDIV(C5,B5),4)*100</f>
        <v>43.3</v>
      </c>
      <c r="AE5" s="35">
        <f>ROUND(IMDIV(N5,O5),2)</f>
        <v>76.209999999999994</v>
      </c>
      <c r="AF5" s="36" t="s">
        <v>91</v>
      </c>
      <c r="AG5" s="34" t="s">
        <v>85</v>
      </c>
      <c r="AH5" s="73">
        <f t="shared" si="2"/>
        <v>1.1703286910197868</v>
      </c>
      <c r="AI5" s="66">
        <f>(((P5-Q5+1.25*Q5)/2)+(U5/3)-(X5-0.2*Y5+0.5*Z5)+(AE5/250)+(AB5/20))+1</f>
        <v>1.163447305936073</v>
      </c>
      <c r="AJ5" s="62">
        <f>(((P5-Q5+1.25*Q5+U5)/2)+(1-(X5-0.25*Y5+0.5*Z5))+(AE5/200)+(AB5/18))</f>
        <v>1.2752623287671232</v>
      </c>
      <c r="AK5" s="23">
        <f>((P5/2)+(1-(X5-0.25*Y5+0.5*Z5))+(AE5/200)+(AB5/18))</f>
        <v>1.14855</v>
      </c>
      <c r="AL5" s="20">
        <f>(((P5/2)+(1-X5)+(AE5/200)+(AB5/9)))/1.06</f>
        <v>1.0858962264150942</v>
      </c>
      <c r="AM5" s="18">
        <f>((P5/2)+(1-X5)+(AE5/200)+(AB5/9))</f>
        <v>1.1510499999999999</v>
      </c>
      <c r="AN5" s="15">
        <f>((P5/2)+(1-X5)+(AE5/200))</f>
        <v>1.1310499999999999</v>
      </c>
      <c r="AO5" s="68">
        <f>(((P5-Q5+1.25*Q5)/2)+(U5/3)-(X5-0.2*Y5+0.5*Z5)+(AE5/250)+(AB5/18))*10</f>
        <v>1.6444730593607315</v>
      </c>
      <c r="AP5" s="10">
        <f>(((P5-P13)-(X5-X13)+((AE5-AE13)/100))/2)*10</f>
        <v>4.9805000000000001</v>
      </c>
      <c r="AQ5" s="2">
        <f>(((P5-P13)-(X5-X13)+(AE5-AE13))/100)+1</f>
        <v>1.4417</v>
      </c>
      <c r="AR5" s="12">
        <f>((P5-P13)-(X5-X13)+((AE5-AE13)/100))*10</f>
        <v>9.9610000000000003</v>
      </c>
      <c r="AS5" s="12">
        <f>((P5-P13)-(X5-X13)+((AE5-AE13)/116))+1</f>
        <v>1.935948275862069</v>
      </c>
      <c r="AT5" s="5">
        <f>(((P5-P13)-(X5-X13)+((AE5-AE13)/100))/2)+1</f>
        <v>1.4980500000000001</v>
      </c>
    </row>
    <row r="6" spans="1:46" x14ac:dyDescent="0.25">
      <c r="A6" s="37" t="s">
        <v>26</v>
      </c>
      <c r="B6" s="37">
        <v>148</v>
      </c>
      <c r="C6" s="37">
        <v>57</v>
      </c>
      <c r="D6" s="37">
        <v>53</v>
      </c>
      <c r="E6" s="37">
        <v>99</v>
      </c>
      <c r="F6" s="37">
        <v>39</v>
      </c>
      <c r="G6" s="37">
        <v>17</v>
      </c>
      <c r="H6" s="37">
        <v>17</v>
      </c>
      <c r="I6" s="37">
        <v>109</v>
      </c>
      <c r="J6" s="37">
        <v>7</v>
      </c>
      <c r="K6" s="37">
        <v>1</v>
      </c>
      <c r="L6" s="37">
        <v>530</v>
      </c>
      <c r="M6" s="37">
        <v>12</v>
      </c>
      <c r="N6" s="37">
        <v>16623</v>
      </c>
      <c r="O6" s="37">
        <v>195</v>
      </c>
      <c r="P6" s="38">
        <f t="shared" si="0"/>
        <v>0.76</v>
      </c>
      <c r="Q6" s="55">
        <f>(D6/O6)</f>
        <v>0.27179487179487177</v>
      </c>
      <c r="R6" s="38">
        <f t="shared" si="1"/>
        <v>0.24</v>
      </c>
      <c r="S6" s="55">
        <f>(E6/O6)*100</f>
        <v>50.769230769230766</v>
      </c>
      <c r="T6" s="38">
        <f>ROUND((D6/E6)*100,2)</f>
        <v>53.54</v>
      </c>
      <c r="U6" s="55">
        <f>F6/O6</f>
        <v>0.2</v>
      </c>
      <c r="V6" s="55">
        <f>G6/O6</f>
        <v>8.7179487179487175E-2</v>
      </c>
      <c r="W6" s="55">
        <f>H6/O6</f>
        <v>8.7179487179487175E-2</v>
      </c>
      <c r="X6" s="38">
        <f>ROUND(IMDIV(I6,O6),2)</f>
        <v>0.56000000000000005</v>
      </c>
      <c r="Y6" s="38">
        <f>ROUND(IMDIV(J6,O6),2)</f>
        <v>0.04</v>
      </c>
      <c r="Z6" s="38">
        <f>ROUND(IMDIV(K6,O6),2)</f>
        <v>0.01</v>
      </c>
      <c r="AA6" s="38">
        <f>ROUND(IMDIV(L6,O6),2)</f>
        <v>2.72</v>
      </c>
      <c r="AB6" s="38">
        <f>ROUND(IMDIV(M6,O6),2)</f>
        <v>0.06</v>
      </c>
      <c r="AC6" s="38">
        <f>ROUND(IMDIV(B6,I6),2)</f>
        <v>1.36</v>
      </c>
      <c r="AD6" s="38">
        <f>ROUND(IMDIV(C6,B6),4)*100</f>
        <v>38.51</v>
      </c>
      <c r="AE6" s="38">
        <f>ROUND(IMDIV(N6,O6),2)</f>
        <v>85.25</v>
      </c>
      <c r="AF6" s="39" t="s">
        <v>87</v>
      </c>
      <c r="AG6" s="77" t="s">
        <v>85</v>
      </c>
      <c r="AH6" s="73">
        <f t="shared" si="2"/>
        <v>1.271523504273504</v>
      </c>
      <c r="AI6" s="66">
        <f>(((P6-Q6+1.25*Q6)/2)+(U6/3)-(X6-0.2*Y6+0.5*Z6)+(AE6/250)+(AB6/20))+1</f>
        <v>1.2676410256410255</v>
      </c>
      <c r="AJ6" s="62">
        <f>(((P6-Q6+1.25*Q6+U6)/2)+(1-(X6-0.25*Y6+0.5*Z6))+(AE6/200)+(AB6/18))</f>
        <v>1.3885576923076923</v>
      </c>
      <c r="AK6" s="23">
        <f>((P6/2)+(1-(X6-0.25*Y6+0.5*Z6))+(AE6/200)+(AB6/18))</f>
        <v>1.2545833333333334</v>
      </c>
      <c r="AL6" s="20">
        <f>(((P6/2)+(1-X6)+(AE6/200)+(AB6/9)))/1.06</f>
        <v>1.1819968553459117</v>
      </c>
      <c r="AM6" s="18">
        <f>((P6/2)+(1-X6)+(AE6/200)+(AB6/9))</f>
        <v>1.2529166666666665</v>
      </c>
      <c r="AN6" s="15">
        <f>((P6/2)+(1-X6)+(AE6/200))</f>
        <v>1.2462499999999999</v>
      </c>
      <c r="AO6" s="68">
        <f>(((P6-Q6+1.25*Q6)/2)+(U6/3)-(X6-0.2*Y6+0.5*Z6)+(AE6/250)+(AB6/18))*10</f>
        <v>2.6797435897435893</v>
      </c>
      <c r="AP6" s="10">
        <f>(((P6-P20)-(X6-X20)+((AE6-AE20)/100))/2)*10</f>
        <v>0.31599999999999917</v>
      </c>
      <c r="AQ6" s="2">
        <f>(((P6-P20)-(X6-X20)+(AE6-AE20))/100)+1</f>
        <v>1.0532999999999999</v>
      </c>
      <c r="AR6" s="12">
        <f>((P6-P20)-(X6-X20)+((AE6-AE20)/100))*10</f>
        <v>0.63199999999999834</v>
      </c>
      <c r="AS6" s="12">
        <f>((P6-P20)-(X6-X20)+((AE6-AE20)/116))+1</f>
        <v>1.0558620689655172</v>
      </c>
      <c r="AT6" s="5">
        <f>(((P6-P20)-(X6-X20)+((AE6-AE20)/100))/2)+1</f>
        <v>1.0315999999999999</v>
      </c>
    </row>
    <row r="7" spans="1:46" x14ac:dyDescent="0.25">
      <c r="A7" s="37" t="s">
        <v>19</v>
      </c>
      <c r="B7" s="37">
        <v>102</v>
      </c>
      <c r="C7" s="37">
        <v>48</v>
      </c>
      <c r="D7" s="37">
        <v>44</v>
      </c>
      <c r="E7" s="37">
        <v>95</v>
      </c>
      <c r="F7" s="37">
        <v>24</v>
      </c>
      <c r="G7" s="37">
        <v>10</v>
      </c>
      <c r="H7" s="37">
        <v>9</v>
      </c>
      <c r="I7" s="37">
        <v>115</v>
      </c>
      <c r="J7" s="37">
        <v>9</v>
      </c>
      <c r="K7" s="37">
        <v>0</v>
      </c>
      <c r="L7" s="37">
        <v>228</v>
      </c>
      <c r="M7" s="37">
        <v>25</v>
      </c>
      <c r="N7" s="37">
        <v>12184</v>
      </c>
      <c r="O7" s="37">
        <v>195</v>
      </c>
      <c r="P7" s="38">
        <f t="shared" si="0"/>
        <v>0.52</v>
      </c>
      <c r="Q7" s="55">
        <f>(D7/O7)</f>
        <v>0.22564102564102564</v>
      </c>
      <c r="R7" s="38">
        <f t="shared" si="1"/>
        <v>0.26</v>
      </c>
      <c r="S7" s="55">
        <f>(E7/O7)*100</f>
        <v>48.717948717948715</v>
      </c>
      <c r="T7" s="38">
        <f>ROUND((D7/E7)*100,2)</f>
        <v>46.32</v>
      </c>
      <c r="U7" s="55">
        <f>F7/O7</f>
        <v>0.12307692307692308</v>
      </c>
      <c r="V7" s="55">
        <f>G7/O7</f>
        <v>5.128205128205128E-2</v>
      </c>
      <c r="W7" s="55">
        <f>H7/O7</f>
        <v>4.6153846153846156E-2</v>
      </c>
      <c r="X7" s="38">
        <f>ROUND(IMDIV(I7,O7),2)</f>
        <v>0.59</v>
      </c>
      <c r="Y7" s="38">
        <f>ROUND(IMDIV(J7,O7),2)</f>
        <v>0.05</v>
      </c>
      <c r="Z7" s="38">
        <f>ROUND(IMDIV(K7,O7),2)</f>
        <v>0</v>
      </c>
      <c r="AA7" s="38">
        <f>ROUND(IMDIV(L7,O7),2)</f>
        <v>1.17</v>
      </c>
      <c r="AB7" s="38">
        <f>ROUND(IMDIV(M7,O7),2)</f>
        <v>0.13</v>
      </c>
      <c r="AC7" s="38">
        <f>ROUND(IMDIV(B7,I7),2)</f>
        <v>0.89</v>
      </c>
      <c r="AD7" s="38">
        <f>ROUND(IMDIV(C7,B7),4)*100</f>
        <v>47.06</v>
      </c>
      <c r="AE7" s="38">
        <f>ROUND(IMDIV(N7,O7),2)</f>
        <v>62.48</v>
      </c>
      <c r="AF7" s="40" t="s">
        <v>87</v>
      </c>
      <c r="AG7" s="37" t="s">
        <v>28</v>
      </c>
      <c r="AH7" s="73">
        <f t="shared" si="2"/>
        <v>0.98228824786324787</v>
      </c>
      <c r="AI7" s="66">
        <f>(((P7-Q7+1.25*Q7)/2)+(U7/3)-(X7-0.2*Y7+0.5*Z7)+(AE7/250)+(AB7/20))+1</f>
        <v>1.0056507692307692</v>
      </c>
      <c r="AJ7" s="62">
        <f>(((P7-Q7+1.25*Q7+U7)/2)+(1-(X7-0.25*Y7+0.5*Z7))+(AE7/200)+(AB7/18))</f>
        <v>1.091865811965812</v>
      </c>
      <c r="AK7" s="23">
        <f>((P7/2)+(1-(X7-0.25*Y7+0.5*Z7))+(AE7/200)+(AB7/18))</f>
        <v>1.0021222222222221</v>
      </c>
      <c r="AL7" s="20">
        <f>(((P7/2)+(1-X7)+(AE7/200)+(AB7/9)))/1.06</f>
        <v>0.94041928721174006</v>
      </c>
      <c r="AM7" s="18">
        <f>((P7/2)+(1-X7)+(AE7/200)+(AB7/9))</f>
        <v>0.99684444444444453</v>
      </c>
      <c r="AN7" s="15">
        <f>((P7/2)+(1-X7)+(AE7/200))</f>
        <v>0.98240000000000005</v>
      </c>
      <c r="AO7" s="68">
        <f>(((P7-Q7+1.25*Q7)/2)+(U7/3)-(X7-0.2*Y7+0.5*Z7)+(AE7/250)+(AB7/18))*10</f>
        <v>6.3729914529915097E-2</v>
      </c>
      <c r="AP7" s="10">
        <f>(((P7-P13)-(X7-X13)+((AE7-AE13)/100))/2)*10</f>
        <v>3.544</v>
      </c>
      <c r="AQ7" s="2">
        <f>(((P7-P13)-(X7-X13)+(AE7-AE13))/100)+1</f>
        <v>1.3028999999999999</v>
      </c>
      <c r="AR7" s="12">
        <f>((P7-P13)-(X7-X13)+((AE7-AE13)/100))*10</f>
        <v>7.0880000000000001</v>
      </c>
      <c r="AS7" s="12">
        <f>((P7-P13)-(X7-X13)+((AE7-AE13)/116))+1</f>
        <v>1.6675862068965517</v>
      </c>
      <c r="AT7" s="5">
        <f>(((P7-P13)-(X7-X13)+((AE7-AE13)/100))/2)+1</f>
        <v>1.3544</v>
      </c>
    </row>
    <row r="8" spans="1:46" x14ac:dyDescent="0.25">
      <c r="A8" s="31" t="s">
        <v>27</v>
      </c>
      <c r="B8" s="31">
        <v>138</v>
      </c>
      <c r="C8" s="31">
        <v>77</v>
      </c>
      <c r="D8" s="31">
        <v>68</v>
      </c>
      <c r="E8" s="31">
        <v>113</v>
      </c>
      <c r="F8" s="31">
        <v>34</v>
      </c>
      <c r="G8" s="31">
        <v>19</v>
      </c>
      <c r="H8" s="31">
        <v>8</v>
      </c>
      <c r="I8" s="31">
        <v>106</v>
      </c>
      <c r="J8" s="31">
        <v>6</v>
      </c>
      <c r="K8" s="31">
        <v>0</v>
      </c>
      <c r="L8" s="31">
        <v>1379</v>
      </c>
      <c r="M8" s="31">
        <v>26</v>
      </c>
      <c r="N8" s="31">
        <v>15561</v>
      </c>
      <c r="O8" s="31">
        <v>184</v>
      </c>
      <c r="P8" s="32">
        <f t="shared" si="0"/>
        <v>0.75</v>
      </c>
      <c r="Q8" s="53">
        <f>(D8/O8)</f>
        <v>0.36956521739130432</v>
      </c>
      <c r="R8" s="32">
        <f t="shared" si="1"/>
        <v>0.24</v>
      </c>
      <c r="S8" s="53">
        <f>(E8/O8)*100</f>
        <v>61.413043478260867</v>
      </c>
      <c r="T8" s="32">
        <f>ROUND((D8/E8)*100,2)</f>
        <v>60.18</v>
      </c>
      <c r="U8" s="53">
        <f>F8/O8</f>
        <v>0.18478260869565216</v>
      </c>
      <c r="V8" s="53">
        <f>G8/O8</f>
        <v>0.10326086956521739</v>
      </c>
      <c r="W8" s="53">
        <f>H8/O8</f>
        <v>4.3478260869565216E-2</v>
      </c>
      <c r="X8" s="32">
        <f>ROUND(IMDIV(I8,O8),2)</f>
        <v>0.57999999999999996</v>
      </c>
      <c r="Y8" s="32">
        <f>ROUND(IMDIV(J8,O8),2)</f>
        <v>0.03</v>
      </c>
      <c r="Z8" s="32">
        <f>ROUND(IMDIV(K8,O8),2)</f>
        <v>0</v>
      </c>
      <c r="AA8" s="32">
        <f>ROUND(IMDIV(L8,O8),2)</f>
        <v>7.49</v>
      </c>
      <c r="AB8" s="32">
        <f>ROUND(IMDIV(M8,O8),2)</f>
        <v>0.14000000000000001</v>
      </c>
      <c r="AC8" s="32">
        <f>ROUND(IMDIV(B8,I8),2)</f>
        <v>1.3</v>
      </c>
      <c r="AD8" s="32">
        <f>ROUND(IMDIV(C8,B8),4)*100</f>
        <v>55.800000000000004</v>
      </c>
      <c r="AE8" s="32">
        <f>ROUND(IMDIV(N8,O8),2)</f>
        <v>84.57</v>
      </c>
      <c r="AF8" s="33" t="s">
        <v>88</v>
      </c>
      <c r="AG8" s="31" t="s">
        <v>85</v>
      </c>
      <c r="AH8" s="73">
        <f t="shared" si="2"/>
        <v>1.2492298913043478</v>
      </c>
      <c r="AI8" s="66">
        <f>(((P8-Q8+1.25*Q8)/2)+(U8/3)-(X8-0.2*Y8+0.5*Z8)+(AE8/250)+(AB8/20))+1</f>
        <v>1.2540698550724638</v>
      </c>
      <c r="AJ8" s="62">
        <f>(((P8-Q8+1.25*Q8+U8)/2)+(1-(X8-0.25*Y8+0.5*Z8))+(AE8/200)+(AB8/18))</f>
        <v>1.3717147342995168</v>
      </c>
      <c r="AK8" s="23">
        <f>((P8/2)+(1-(X8-0.25*Y8+0.5*Z8))+(AE8/200)+(AB8/18))</f>
        <v>1.2331277777777778</v>
      </c>
      <c r="AL8" s="20">
        <f>(((P8/2)+(1-X8)+(AE8/200)+(AB8/9)))/1.06</f>
        <v>1.1635901467505239</v>
      </c>
      <c r="AM8" s="18">
        <f>((P8/2)+(1-X8)+(AE8/200)+(AB8/9))</f>
        <v>1.2334055555555554</v>
      </c>
      <c r="AN8" s="15">
        <f>((P8/2)+(1-X8)+(AE8/200))</f>
        <v>1.2178499999999999</v>
      </c>
      <c r="AO8" s="68">
        <f>(((P8-Q8+1.25*Q8)/2)+(U8/3)-(X8-0.2*Y8+0.5*Z8)+(AE8/250)+(AB8/18))*10</f>
        <v>2.5484763285024155</v>
      </c>
      <c r="AP8" s="10">
        <f>(((P8-P17)-(X8-X17)+((AE8-AE17)/100))/2)*10</f>
        <v>2.5860000000000003</v>
      </c>
      <c r="AQ8" s="2">
        <f>(((P8-P17)-(X8-X17)+(AE8-AE17))/100)+1</f>
        <v>1.1855500000000001</v>
      </c>
      <c r="AR8" s="12">
        <f>((P8-P17)-(X8-X17)+((AE8-AE17)/100))*10</f>
        <v>5.1720000000000006</v>
      </c>
      <c r="AS8" s="12">
        <f>((P8-P17)-(X8-X17)+((AE8-AE17)/116))+1</f>
        <v>1.4920689655172414</v>
      </c>
      <c r="AT8" s="5">
        <f>(((P8-P17)-(X8-X17)+((AE8-AE17)/100))/2)+1</f>
        <v>1.2585999999999999</v>
      </c>
    </row>
    <row r="9" spans="1:46" x14ac:dyDescent="0.25">
      <c r="A9" s="31" t="s">
        <v>20</v>
      </c>
      <c r="B9" s="31">
        <v>93</v>
      </c>
      <c r="C9" s="31">
        <v>48</v>
      </c>
      <c r="D9" s="31">
        <v>35</v>
      </c>
      <c r="E9" s="31">
        <v>71</v>
      </c>
      <c r="F9" s="31">
        <v>14</v>
      </c>
      <c r="G9" s="31">
        <v>10</v>
      </c>
      <c r="H9" s="31">
        <v>7</v>
      </c>
      <c r="I9" s="31">
        <v>117</v>
      </c>
      <c r="J9" s="31">
        <v>7</v>
      </c>
      <c r="K9" s="31">
        <v>0</v>
      </c>
      <c r="L9" s="31">
        <v>360</v>
      </c>
      <c r="M9" s="31">
        <v>31</v>
      </c>
      <c r="N9" s="31">
        <v>10654</v>
      </c>
      <c r="O9" s="31">
        <v>184</v>
      </c>
      <c r="P9" s="32">
        <f t="shared" si="0"/>
        <v>0.51</v>
      </c>
      <c r="Q9" s="53">
        <f>(D9/O9)</f>
        <v>0.19021739130434784</v>
      </c>
      <c r="R9" s="32">
        <f t="shared" si="1"/>
        <v>0.2</v>
      </c>
      <c r="S9" s="53">
        <f>(E9/O9)*100</f>
        <v>38.586956521739133</v>
      </c>
      <c r="T9" s="32">
        <f>ROUND((D9/E9)*100,2)</f>
        <v>49.3</v>
      </c>
      <c r="U9" s="53">
        <f>F9/O9</f>
        <v>7.6086956521739135E-2</v>
      </c>
      <c r="V9" s="53">
        <f>G9/O9</f>
        <v>5.434782608695652E-2</v>
      </c>
      <c r="W9" s="53">
        <f>H9/O9</f>
        <v>3.8043478260869568E-2</v>
      </c>
      <c r="X9" s="32">
        <f>ROUND(IMDIV(I9,O9),2)</f>
        <v>0.64</v>
      </c>
      <c r="Y9" s="32">
        <f>ROUND(IMDIV(J9,O9),2)</f>
        <v>0.04</v>
      </c>
      <c r="Z9" s="32">
        <f>ROUND(IMDIV(K9,O9),2)</f>
        <v>0</v>
      </c>
      <c r="AA9" s="32">
        <f>ROUND(IMDIV(L9,O9),2)</f>
        <v>1.96</v>
      </c>
      <c r="AB9" s="32">
        <f>ROUND(IMDIV(M9,O9),2)</f>
        <v>0.17</v>
      </c>
      <c r="AC9" s="32">
        <f>ROUND(IMDIV(B9,I9),2)</f>
        <v>0.79</v>
      </c>
      <c r="AD9" s="32">
        <f>ROUND(IMDIV(C9,B9),4)*100</f>
        <v>51.61</v>
      </c>
      <c r="AE9" s="32">
        <f>ROUND(IMDIV(N9,O9),2)</f>
        <v>57.9</v>
      </c>
      <c r="AF9" s="33" t="s">
        <v>88</v>
      </c>
      <c r="AG9" s="31" t="s">
        <v>28</v>
      </c>
      <c r="AH9" s="73">
        <f t="shared" si="2"/>
        <v>0.90100543478260864</v>
      </c>
      <c r="AI9" s="66">
        <f>(((P9-Q9+1.25*Q9)/2)+(U9/3)-(X9-0.2*Y9+0.5*Z9)+(AE9/250)+(AB9/20))+1</f>
        <v>0.91223949275362315</v>
      </c>
      <c r="AJ9" s="62">
        <f>(((P9-Q9+1.25*Q9+U9)/2)+(1-(X9-0.25*Y9+0.5*Z9))+(AE9/200)+(AB9/18))</f>
        <v>0.98576509661835754</v>
      </c>
      <c r="AK9" s="23">
        <f>((P9/2)+(1-(X9-0.25*Y9+0.5*Z9))+(AE9/200)+(AB9/18))</f>
        <v>0.92394444444444446</v>
      </c>
      <c r="AL9" s="20">
        <f>(((P9/2)+(1-X9)+(AE9/200)+(AB9/9)))/1.06</f>
        <v>0.87112159329140448</v>
      </c>
      <c r="AM9" s="18">
        <f>((P9/2)+(1-X9)+(AE9/200)+(AB9/9))</f>
        <v>0.92338888888888881</v>
      </c>
      <c r="AN9" s="15">
        <f>((P9/2)+(1-X9)+(AE9/200))</f>
        <v>0.90449999999999997</v>
      </c>
      <c r="AO9" s="68">
        <f>(((P9-Q9+1.25*Q9)/2)+(U9/3)-(X9-0.2*Y9+0.5*Z9)+(AE9/250)+(AB9/18))*10</f>
        <v>-0.86816062801932381</v>
      </c>
      <c r="AP9" s="10">
        <f>(((P9-P13)-(X9-X13)+((AE9-AE13)/100))/2)*10</f>
        <v>3.0149999999999997</v>
      </c>
      <c r="AQ9" s="2">
        <f>(((P9-P13)-(X9-X13)+(AE9-AE13))/100)+1</f>
        <v>1.2565</v>
      </c>
      <c r="AR9" s="12">
        <f>((P9-P13)-(X9-X13)+((AE9-AE13)/100))*10</f>
        <v>6.0299999999999994</v>
      </c>
      <c r="AS9" s="12">
        <f>((P9-P13)-(X9-X13)+((AE9-AE13)/116))+1</f>
        <v>1.568103448275862</v>
      </c>
      <c r="AT9" s="5">
        <f>(((P9-P13)-(X9-X13)+((AE9-AE13)/100))/2)+1</f>
        <v>1.3014999999999999</v>
      </c>
    </row>
    <row r="10" spans="1:46" x14ac:dyDescent="0.25">
      <c r="A10" s="41" t="s">
        <v>17</v>
      </c>
      <c r="B10" s="41">
        <v>57</v>
      </c>
      <c r="C10" s="41">
        <v>27</v>
      </c>
      <c r="D10" s="41">
        <v>21</v>
      </c>
      <c r="E10" s="41">
        <v>40</v>
      </c>
      <c r="F10" s="41">
        <v>12</v>
      </c>
      <c r="G10" s="41">
        <v>6</v>
      </c>
      <c r="H10" s="41">
        <v>6</v>
      </c>
      <c r="I10" s="41">
        <v>47</v>
      </c>
      <c r="J10" s="41">
        <v>4</v>
      </c>
      <c r="K10" s="41">
        <v>0</v>
      </c>
      <c r="L10" s="41">
        <v>159</v>
      </c>
      <c r="M10" s="41">
        <v>10</v>
      </c>
      <c r="N10" s="41">
        <v>6268</v>
      </c>
      <c r="O10" s="41">
        <v>78</v>
      </c>
      <c r="P10" s="42">
        <f t="shared" si="0"/>
        <v>0.73</v>
      </c>
      <c r="Q10" s="56">
        <f>(D10/O10)</f>
        <v>0.26923076923076922</v>
      </c>
      <c r="R10" s="42">
        <f t="shared" si="1"/>
        <v>0.24</v>
      </c>
      <c r="S10" s="56">
        <f>(E10/O10)*100</f>
        <v>51.282051282051277</v>
      </c>
      <c r="T10" s="42">
        <f>ROUND((D10/E10)*100,2)</f>
        <v>52.5</v>
      </c>
      <c r="U10" s="56">
        <f>F10/O10</f>
        <v>0.15384615384615385</v>
      </c>
      <c r="V10" s="56">
        <f>G10/O10</f>
        <v>7.6923076923076927E-2</v>
      </c>
      <c r="W10" s="56">
        <f>H10/O10</f>
        <v>7.6923076923076927E-2</v>
      </c>
      <c r="X10" s="42">
        <f>ROUND(IMDIV(I10,O10),2)</f>
        <v>0.6</v>
      </c>
      <c r="Y10" s="42">
        <f>ROUND(IMDIV(J10,O10),2)</f>
        <v>0.05</v>
      </c>
      <c r="Z10" s="42">
        <f>ROUND(IMDIV(K10,O10),2)</f>
        <v>0</v>
      </c>
      <c r="AA10" s="42">
        <f>ROUND(IMDIV(L10,O10),2)</f>
        <v>2.04</v>
      </c>
      <c r="AB10" s="42">
        <f>ROUND(IMDIV(M10,O10),2)</f>
        <v>0.13</v>
      </c>
      <c r="AC10" s="42">
        <f>ROUND(IMDIV(B10,I10),2)</f>
        <v>1.21</v>
      </c>
      <c r="AD10" s="42">
        <f>ROUND(IMDIV(C10,B10),4)*100</f>
        <v>47.370000000000005</v>
      </c>
      <c r="AE10" s="42">
        <f>ROUND(IMDIV(N10,O10),2)</f>
        <v>80.36</v>
      </c>
      <c r="AF10" s="41" t="s">
        <v>51</v>
      </c>
      <c r="AG10" s="41" t="s">
        <v>28</v>
      </c>
      <c r="AH10" s="73">
        <f t="shared" si="2"/>
        <v>1.1867549145299146</v>
      </c>
      <c r="AI10" s="66">
        <f>(((P10-Q10+1.25*Q10)/2)+(U10/3)-(X10-0.2*Y10+0.5*Z10)+(AE10/250)+(AB10/20))+1</f>
        <v>1.1878758974358974</v>
      </c>
      <c r="AJ10" s="62">
        <f>(((P10-Q10+1.25*Q10+U10)/2)+(1-(X10-0.25*Y10+0.5*Z10))+(AE10/200)+(AB10/18))</f>
        <v>1.2970991452991452</v>
      </c>
      <c r="AK10" s="23">
        <f>((P10/2)+(1-(X10-0.25*Y10+0.5*Z10))+(AE10/200)+(AB10/18))</f>
        <v>1.1865222222222223</v>
      </c>
      <c r="AL10" s="20">
        <f>(((P10/2)+(1-X10)+(AE10/200)+(AB10/9)))/1.06</f>
        <v>1.1143815513626836</v>
      </c>
      <c r="AM10" s="18">
        <f>((P10/2)+(1-X10)+(AE10/200)+(AB10/9))</f>
        <v>1.1812444444444445</v>
      </c>
      <c r="AN10" s="15">
        <f>((P10/2)+(1-X10)+(AE10/200))</f>
        <v>1.1668000000000001</v>
      </c>
      <c r="AO10" s="68">
        <f>(((P10-Q10+1.25*Q10)/2)+(U10/3)-(X10-0.2*Y10+0.5*Z10)+(AE10/250)+(AB10/18))*10</f>
        <v>1.8859811965811966</v>
      </c>
      <c r="AP10" s="10">
        <f>(((P10-P22)-(X10-X22)+((AE10-AE22)/100))/2)*10</f>
        <v>3.4474999999999998</v>
      </c>
      <c r="AQ10" s="2">
        <f>(((P10-P22)-(X10-X22)+(AE10-AE22))/100)+1</f>
        <v>1.2341</v>
      </c>
      <c r="AR10" s="12">
        <f>((P10-P22)-(X10-X22)+((AE10-AE22)/100))*10</f>
        <v>6.8949999999999996</v>
      </c>
      <c r="AS10" s="12">
        <f>((P10-P22)-(X10-X22)+((AE10-AE22)/116))+1</f>
        <v>1.657844827586207</v>
      </c>
      <c r="AT10" s="5">
        <f>(((P10-P22)-(X10-X22)+((AE10-AE22)/100))/2)+1</f>
        <v>1.3447499999999999</v>
      </c>
    </row>
    <row r="11" spans="1:46" x14ac:dyDescent="0.25">
      <c r="A11" s="41" t="s">
        <v>18</v>
      </c>
      <c r="B11" s="41">
        <v>43</v>
      </c>
      <c r="C11" s="41">
        <v>20</v>
      </c>
      <c r="D11" s="41">
        <v>14</v>
      </c>
      <c r="E11" s="41">
        <v>38</v>
      </c>
      <c r="F11" s="41">
        <v>7</v>
      </c>
      <c r="G11" s="41">
        <v>4</v>
      </c>
      <c r="H11" s="41">
        <v>5</v>
      </c>
      <c r="I11" s="41">
        <v>51</v>
      </c>
      <c r="J11" s="41">
        <v>6</v>
      </c>
      <c r="K11" s="41">
        <v>0</v>
      </c>
      <c r="L11" s="41">
        <v>115</v>
      </c>
      <c r="M11" s="41">
        <v>15</v>
      </c>
      <c r="N11" s="41">
        <v>4982</v>
      </c>
      <c r="O11" s="41">
        <v>78</v>
      </c>
      <c r="P11" s="42">
        <f t="shared" si="0"/>
        <v>0.55000000000000004</v>
      </c>
      <c r="Q11" s="56">
        <f>(D11/O11)</f>
        <v>0.17948717948717949</v>
      </c>
      <c r="R11" s="42">
        <f t="shared" si="1"/>
        <v>0.31</v>
      </c>
      <c r="S11" s="56">
        <f>(E11/O11)*100</f>
        <v>48.717948717948715</v>
      </c>
      <c r="T11" s="42">
        <f>ROUND((D11/E11)*100,2)</f>
        <v>36.840000000000003</v>
      </c>
      <c r="U11" s="56">
        <f>F11/O11</f>
        <v>8.9743589743589744E-2</v>
      </c>
      <c r="V11" s="56">
        <f>G11/O11</f>
        <v>5.128205128205128E-2</v>
      </c>
      <c r="W11" s="56">
        <f>H11/O11</f>
        <v>6.4102564102564097E-2</v>
      </c>
      <c r="X11" s="42">
        <f>ROUND(IMDIV(I11,O11),2)</f>
        <v>0.65</v>
      </c>
      <c r="Y11" s="42">
        <f>ROUND(IMDIV(J11,O11),2)</f>
        <v>0.08</v>
      </c>
      <c r="Z11" s="42">
        <f>ROUND(IMDIV(K11,O11),2)</f>
        <v>0</v>
      </c>
      <c r="AA11" s="42">
        <f>ROUND(IMDIV(L11,O11),2)</f>
        <v>1.47</v>
      </c>
      <c r="AB11" s="42">
        <f>ROUND(IMDIV(M11,O11),2)</f>
        <v>0.19</v>
      </c>
      <c r="AC11" s="42">
        <f>ROUND(IMDIV(B11,I11),2)</f>
        <v>0.84</v>
      </c>
      <c r="AD11" s="42">
        <f>ROUND(IMDIV(C11,B11),4)*100</f>
        <v>46.51</v>
      </c>
      <c r="AE11" s="42">
        <f>ROUND(IMDIV(N11,O11),2)</f>
        <v>63.87</v>
      </c>
      <c r="AF11" s="41" t="s">
        <v>51</v>
      </c>
      <c r="AG11" s="41" t="s">
        <v>28</v>
      </c>
      <c r="AH11" s="73">
        <f t="shared" si="2"/>
        <v>0.92682286324786323</v>
      </c>
      <c r="AI11" s="66">
        <f>(((P11-Q11+1.25*Q11)/2)+(U11/3)-(X11-0.2*Y11+0.5*Z11)+(AE11/250)+(AB11/20))+1</f>
        <v>0.95833042735042728</v>
      </c>
      <c r="AJ11" s="62">
        <f>(((P11-Q11+1.25*Q11+U11)/2)+(1-(X11-0.25*Y11+0.5*Z11))+(AE11/200)+(AB11/18))</f>
        <v>1.042213247863248</v>
      </c>
      <c r="AK11" s="23">
        <f>((P11/2)+(1-(X11-0.25*Y11+0.5*Z11))+(AE11/200)+(AB11/18))</f>
        <v>0.97490555555555558</v>
      </c>
      <c r="AL11" s="20">
        <f>(((P11/2)+(1-X11)+(AE11/200)+(AB11/9)))/1.06</f>
        <v>0.91081236897274631</v>
      </c>
      <c r="AM11" s="18">
        <f>((P11/2)+(1-X11)+(AE11/200)+(AB11/9))</f>
        <v>0.9654611111111111</v>
      </c>
      <c r="AN11" s="15">
        <f>((P11/2)+(1-X11)+(AE11/200))</f>
        <v>0.94435000000000002</v>
      </c>
      <c r="AO11" s="68">
        <f>(((P11-Q11+1.25*Q11)/2)+(U11/3)-(X11-0.2*Y11+0.5*Z11)+(AE11/250)+(AB11/18))*10</f>
        <v>-0.40614017094017119</v>
      </c>
      <c r="AP11" s="10">
        <f>(((P11-P16)-(X11-X16)+((AE11-AE16)/100))/2)*10</f>
        <v>-0.46803571428571528</v>
      </c>
      <c r="AQ11" s="2">
        <f>(((P11-P16)-(X11-X16)+(AE11-AE16))/100)+1</f>
        <v>0.94599285714285697</v>
      </c>
      <c r="AR11" s="12">
        <f>((P11-P16)-(X11-X16)+((AE11-AE16)/100))*10</f>
        <v>-0.93607142857143055</v>
      </c>
      <c r="AS11" s="12">
        <f>((P11-P16)-(X11-X16)+((AE11-AE16)/116))+1</f>
        <v>0.91378694581280773</v>
      </c>
      <c r="AT11" s="5">
        <f>(((P11-P16)-(X11-X16)+((AE11-AE16)/100))/2)+1</f>
        <v>0.9531964285714285</v>
      </c>
    </row>
    <row r="12" spans="1:46" ht="15" customHeight="1" x14ac:dyDescent="0.25">
      <c r="A12" s="43" t="s">
        <v>23</v>
      </c>
      <c r="B12" s="44">
        <v>56</v>
      </c>
      <c r="C12" s="44">
        <v>38</v>
      </c>
      <c r="D12" s="44">
        <v>31</v>
      </c>
      <c r="E12" s="44">
        <v>56</v>
      </c>
      <c r="F12" s="44">
        <v>16</v>
      </c>
      <c r="G12" s="44">
        <v>3</v>
      </c>
      <c r="H12" s="44">
        <v>1</v>
      </c>
      <c r="I12" s="44">
        <v>50</v>
      </c>
      <c r="J12" s="44">
        <v>2</v>
      </c>
      <c r="K12" s="44">
        <v>0</v>
      </c>
      <c r="L12" s="44">
        <v>400</v>
      </c>
      <c r="M12" s="44">
        <v>29</v>
      </c>
      <c r="N12" s="44">
        <v>6996</v>
      </c>
      <c r="O12" s="44">
        <v>73</v>
      </c>
      <c r="P12" s="45">
        <f t="shared" si="0"/>
        <v>0.77</v>
      </c>
      <c r="Q12" s="57">
        <f>(D12/O12)</f>
        <v>0.42465753424657532</v>
      </c>
      <c r="R12" s="45">
        <f t="shared" si="1"/>
        <v>0.34</v>
      </c>
      <c r="S12" s="57">
        <f>(E12/O12)*100</f>
        <v>76.712328767123282</v>
      </c>
      <c r="T12" s="45">
        <f>ROUND((D12/E12)*100,2)</f>
        <v>55.36</v>
      </c>
      <c r="U12" s="57">
        <f>F12/O12</f>
        <v>0.21917808219178081</v>
      </c>
      <c r="V12" s="57">
        <f>G12/O12</f>
        <v>4.1095890410958902E-2</v>
      </c>
      <c r="W12" s="57">
        <f>H12/O12</f>
        <v>1.3698630136986301E-2</v>
      </c>
      <c r="X12" s="45">
        <f>ROUND(IMDIV(I12,O12),2)</f>
        <v>0.68</v>
      </c>
      <c r="Y12" s="45">
        <f>ROUND(IMDIV(J12,O12),2)</f>
        <v>0.03</v>
      </c>
      <c r="Z12" s="45">
        <f>ROUND(IMDIV(K12,O12),2)</f>
        <v>0</v>
      </c>
      <c r="AA12" s="45">
        <f>ROUND(IMDIV(L12,O12),2)</f>
        <v>5.48</v>
      </c>
      <c r="AB12" s="45">
        <f>ROUND(IMDIV(M12,O12),2)</f>
        <v>0.4</v>
      </c>
      <c r="AC12" s="45">
        <f>ROUND(IMDIV(B12,I12),2)</f>
        <v>1.1200000000000001</v>
      </c>
      <c r="AD12" s="45">
        <f>ROUND(IMDIV(C12,B12),4)*100</f>
        <v>67.86</v>
      </c>
      <c r="AE12" s="45">
        <f>ROUND(IMDIV(N12,O12),2)</f>
        <v>95.84</v>
      </c>
      <c r="AF12" s="46" t="s">
        <v>44</v>
      </c>
      <c r="AG12" s="43" t="s">
        <v>28</v>
      </c>
      <c r="AH12" s="73">
        <f t="shared" si="2"/>
        <v>1.2075902587519027</v>
      </c>
      <c r="AI12" s="66">
        <f>(((P12-Q12+1.25*Q12)/2)+(U12/3)-(X12-0.2*Y12+0.5*Z12)+(AE12/250)+(AB12/20))+1</f>
        <v>1.2405015525114156</v>
      </c>
      <c r="AJ12" s="62">
        <f>(((P12-Q12+1.25*Q12+U12)/2)+(1-(X12-0.25*Y12+0.5*Z12))+(AE12/200)+(AB12/18))</f>
        <v>1.3765934550989345</v>
      </c>
      <c r="AK12" s="23">
        <f>((P12/2)+(1-(X12-0.25*Y12+0.5*Z12))+(AE12/200)+(AB12/18))</f>
        <v>1.2139222222222221</v>
      </c>
      <c r="AL12" s="20">
        <f>(((P12/2)+(1-X12)+(AE12/200)+(AB12/9)))/1.06</f>
        <v>1.1590985324947589</v>
      </c>
      <c r="AM12" s="18">
        <f>((P12/2)+(1-X12)+(AE12/200)+(AB12/9))</f>
        <v>1.2286444444444444</v>
      </c>
      <c r="AN12" s="15">
        <f>((P12/2)+(1-X12)+(AE12/200))</f>
        <v>1.1841999999999999</v>
      </c>
      <c r="AO12" s="68">
        <f>(((P12-Q12+1.25*Q12)/2)+(U12/3)-(X12-0.2*Y12+0.5*Z12)+(AE12/250)+(AB12/18))*10</f>
        <v>2.427237747336378</v>
      </c>
      <c r="AP12" s="10">
        <f>(((P12-P19)-(X12-X19)+((AE12-AE19)/100))/2)*10</f>
        <v>-0.14699999999999974</v>
      </c>
      <c r="AQ12" s="2">
        <f>(((P12-P19)-(X12-X19)+(AE12-AE19))/100)+1</f>
        <v>1.0597000000000001</v>
      </c>
      <c r="AR12" s="12">
        <f>((P12-P19)-(X12-X19)+((AE12-AE19)/100))*10</f>
        <v>-0.29399999999999948</v>
      </c>
      <c r="AS12" s="12">
        <f>((P12-P19)-(X12-X19)+((AE12-AE19)/116))+1</f>
        <v>0.96224137931034492</v>
      </c>
      <c r="AT12" s="5">
        <f>(((P12-P19)-(X12-X19)+((AE12-AE19)/100))/2)+1</f>
        <v>0.98530000000000006</v>
      </c>
    </row>
    <row r="13" spans="1:46" ht="15" customHeight="1" x14ac:dyDescent="0.25">
      <c r="A13" s="43" t="s">
        <v>24</v>
      </c>
      <c r="B13" s="44">
        <v>18</v>
      </c>
      <c r="C13" s="44">
        <v>9</v>
      </c>
      <c r="D13" s="44">
        <v>5</v>
      </c>
      <c r="E13" s="44">
        <v>17</v>
      </c>
      <c r="F13" s="44">
        <v>1</v>
      </c>
      <c r="G13" s="44">
        <v>0</v>
      </c>
      <c r="H13" s="44">
        <v>1</v>
      </c>
      <c r="I13" s="44">
        <v>53</v>
      </c>
      <c r="J13" s="44">
        <v>1</v>
      </c>
      <c r="K13" s="44">
        <v>0</v>
      </c>
      <c r="L13" s="44">
        <v>111</v>
      </c>
      <c r="M13" s="44">
        <v>16</v>
      </c>
      <c r="N13" s="44">
        <v>2380</v>
      </c>
      <c r="O13" s="44">
        <v>73</v>
      </c>
      <c r="P13" s="45">
        <f t="shared" si="0"/>
        <v>0.25</v>
      </c>
      <c r="Q13" s="57">
        <f>(D13/O13)</f>
        <v>6.8493150684931503E-2</v>
      </c>
      <c r="R13" s="45">
        <f t="shared" si="1"/>
        <v>0.16</v>
      </c>
      <c r="S13" s="57">
        <f>(E13/O13)*100</f>
        <v>23.287671232876711</v>
      </c>
      <c r="T13" s="45">
        <f>ROUND((D13/E13)*100,2)</f>
        <v>29.41</v>
      </c>
      <c r="U13" s="57">
        <f>F13/O13</f>
        <v>1.3698630136986301E-2</v>
      </c>
      <c r="V13" s="57">
        <f>G13/O13</f>
        <v>0</v>
      </c>
      <c r="W13" s="57">
        <f>H13/O13</f>
        <v>1.3698630136986301E-2</v>
      </c>
      <c r="X13" s="45">
        <f>ROUND(IMDIV(I13,O13),2)</f>
        <v>0.73</v>
      </c>
      <c r="Y13" s="45">
        <f>ROUND(IMDIV(J13,O13),2)</f>
        <v>0.01</v>
      </c>
      <c r="Z13" s="45">
        <f>ROUND(IMDIV(K13,O13),2)</f>
        <v>0</v>
      </c>
      <c r="AA13" s="45">
        <f>ROUND(IMDIV(L13,O13),2)</f>
        <v>1.52</v>
      </c>
      <c r="AB13" s="45">
        <f>ROUND(IMDIV(M13,O13),2)</f>
        <v>0.22</v>
      </c>
      <c r="AC13" s="45">
        <f>ROUND(IMDIV(B13,I13),2)</f>
        <v>0.34</v>
      </c>
      <c r="AD13" s="45">
        <f>ROUND(IMDIV(C13,B13),4)*100</f>
        <v>50</v>
      </c>
      <c r="AE13" s="45">
        <f>ROUND(IMDIV(N13,O13),2)</f>
        <v>32.6</v>
      </c>
      <c r="AF13" s="46" t="s">
        <v>44</v>
      </c>
      <c r="AG13" s="43" t="s">
        <v>28</v>
      </c>
      <c r="AH13" s="73">
        <f t="shared" si="2"/>
        <v>0.53169140030441386</v>
      </c>
      <c r="AI13" s="66">
        <f>(((P13-Q13+1.25*Q13)/2)+(U13/3)-(X13-0.2*Y13+0.5*Z13)+(AE13/250)+(AB13/20))+1</f>
        <v>0.55152785388127867</v>
      </c>
      <c r="AJ13" s="62">
        <f>(((P13-Q13+1.25*Q13+U13)/2)+(1-(X13-0.25*Y13+0.5*Z13))+(AE13/200)+(AB13/18))</f>
        <v>0.58813318112633184</v>
      </c>
      <c r="AK13" s="23">
        <f>((P13/2)+(1-(X13-0.25*Y13+0.5*Z13))+(AE13/200)+(AB13/18))</f>
        <v>0.57272222222222224</v>
      </c>
      <c r="AL13" s="20">
        <f>(((P13/2)+(1-X13)+(AE13/200)+(AB13/9)))/1.06</f>
        <v>0.54947589098532501</v>
      </c>
      <c r="AM13" s="18">
        <f>((P13/2)+(1-X13)+(AE13/200)+(AB13/9))</f>
        <v>0.58244444444444454</v>
      </c>
      <c r="AN13" s="15">
        <f>((P13/2)+(1-X13)+(AE13/200))</f>
        <v>0.55800000000000005</v>
      </c>
      <c r="AO13" s="68">
        <f>(((P13-Q13+1.25*Q13)/2)+(U13/3)-(X13-0.2*Y13+0.5*Z13)+(AE13/250)+(AB13/18))*10</f>
        <v>-4.4724992389649918</v>
      </c>
      <c r="AP13" s="10">
        <f>(((P13-P16)-(X13-X16)+((AE13-AE16)/100))/2)*10</f>
        <v>-3.9315357142857152</v>
      </c>
      <c r="AQ13" s="2">
        <f>(((P13-P16)-(X13-X16)+(AE13-AE16))/100)+1</f>
        <v>0.62949285714285708</v>
      </c>
      <c r="AR13" s="12">
        <f>((P13-P16)-(X13-X16)+((AE13-AE16)/100))*10</f>
        <v>-7.8630714285714305</v>
      </c>
      <c r="AS13" s="12">
        <f>((P13-P16)-(X13-X16)+((AE13-AE16)/116))+1</f>
        <v>0.26421798029556642</v>
      </c>
      <c r="AT13" s="5">
        <f>(((P13-P16)-(X13-X16)+((AE13-AE16)/100))/2)+1</f>
        <v>0.60684642857142845</v>
      </c>
    </row>
    <row r="14" spans="1:46" ht="15" customHeight="1" x14ac:dyDescent="0.25">
      <c r="A14" s="47" t="s">
        <v>29</v>
      </c>
      <c r="B14" s="48">
        <v>23</v>
      </c>
      <c r="C14" s="48">
        <v>8</v>
      </c>
      <c r="D14" s="48">
        <v>5</v>
      </c>
      <c r="E14" s="48">
        <v>31</v>
      </c>
      <c r="F14" s="48">
        <v>4</v>
      </c>
      <c r="G14" s="48">
        <v>2</v>
      </c>
      <c r="H14" s="48">
        <v>2</v>
      </c>
      <c r="I14" s="48">
        <v>57</v>
      </c>
      <c r="J14" s="48">
        <v>1</v>
      </c>
      <c r="K14" s="48">
        <v>0</v>
      </c>
      <c r="L14" s="47">
        <v>8</v>
      </c>
      <c r="M14" s="48">
        <v>2</v>
      </c>
      <c r="N14" s="48">
        <v>2902</v>
      </c>
      <c r="O14" s="48">
        <v>66</v>
      </c>
      <c r="P14" s="47">
        <f t="shared" si="0"/>
        <v>0.35</v>
      </c>
      <c r="Q14" s="58">
        <f>(D14/O14)</f>
        <v>7.575757575757576E-2</v>
      </c>
      <c r="R14" s="47">
        <f t="shared" si="1"/>
        <v>0.39</v>
      </c>
      <c r="S14" s="58">
        <f>(E14/O14)*100</f>
        <v>46.969696969696969</v>
      </c>
      <c r="T14" s="47">
        <f>ROUND((D14/E14)*100,2)</f>
        <v>16.13</v>
      </c>
      <c r="U14" s="58">
        <f>F14/O14</f>
        <v>6.0606060606060608E-2</v>
      </c>
      <c r="V14" s="58">
        <f>G14/O14</f>
        <v>3.0303030303030304E-2</v>
      </c>
      <c r="W14" s="58">
        <f>H14/O14</f>
        <v>3.0303030303030304E-2</v>
      </c>
      <c r="X14" s="47">
        <f>ROUND(IMDIV(I14,O14),2)</f>
        <v>0.86</v>
      </c>
      <c r="Y14" s="47">
        <f>ROUND(IMDIV(J14,O14),2)</f>
        <v>0.02</v>
      </c>
      <c r="Z14" s="47">
        <f>ROUND(IMDIV(K14,O14),2)</f>
        <v>0</v>
      </c>
      <c r="AA14" s="47">
        <f>ROUND(IMDIV(L14,O14),2)</f>
        <v>0.12</v>
      </c>
      <c r="AB14" s="47">
        <f>ROUND(IMDIV(M14,O14),2)</f>
        <v>0.03</v>
      </c>
      <c r="AC14" s="47">
        <f>ROUND(IMDIV(B14,I14),2)</f>
        <v>0.4</v>
      </c>
      <c r="AD14" s="47">
        <f>ROUND(IMDIV(C14,B14),4)*100</f>
        <v>34.78</v>
      </c>
      <c r="AE14" s="47">
        <f>ROUND(IMDIV(N14,O14),2)</f>
        <v>43.97</v>
      </c>
      <c r="AF14" s="47" t="s">
        <v>45</v>
      </c>
      <c r="AG14" s="47" t="s">
        <v>28</v>
      </c>
      <c r="AH14" s="73">
        <f t="shared" si="2"/>
        <v>0.45693863636363619</v>
      </c>
      <c r="AI14" s="66">
        <f>(((P14-Q14+1.25*Q14)/2)+(U14/3)-(X14-0.2*Y14+0.5*Z14)+(AE14/250)+(AB14/20))+1</f>
        <v>0.52605171717171717</v>
      </c>
      <c r="AJ14" s="62">
        <f>(((P14-Q14+1.25*Q14+U14)/2)+(1-(X14-0.25*Y14+0.5*Z14))+(AE14/200)+(AB14/18))</f>
        <v>0.58128939393939394</v>
      </c>
      <c r="AK14" s="23">
        <f>((P14/2)+(1-(X14-0.25*Y14+0.5*Z14))+(AE14/200)+(AB14/18))</f>
        <v>0.54151666666666665</v>
      </c>
      <c r="AL14" s="20">
        <f>(((P14/2)+(1-X14)+(AE14/200)+(AB14/9)))/1.06</f>
        <v>0.50772012578616355</v>
      </c>
      <c r="AM14" s="18">
        <f>((P14/2)+(1-X14)+(AE14/200)+(AB14/9))</f>
        <v>0.53818333333333335</v>
      </c>
      <c r="AN14" s="15">
        <f>((P14/2)+(1-X14)+(AE14/200))</f>
        <v>0.53485000000000005</v>
      </c>
      <c r="AO14" s="68">
        <f>(((P14-Q14+1.25*Q14)/2)+(U14/3)-(X14-0.2*Y14+0.5*Z14)+(AE14/250)+(AB14/18))*10</f>
        <v>-4.7378161616161609</v>
      </c>
      <c r="AP14" s="10">
        <f>(((P14-P16)-(X14-X16)+((AE14-AE16)/100))/2)*10</f>
        <v>-3.5130357142857154</v>
      </c>
      <c r="AQ14" s="2">
        <f>(((P14-P16)-(X14-X16)+(AE14-AE16))/100)+1</f>
        <v>0.74289285714285702</v>
      </c>
      <c r="AR14" s="12">
        <f>((P14-P16)-(X14-X16)+((AE14-AE16)/100))*10</f>
        <v>-7.0260714285714307</v>
      </c>
      <c r="AS14" s="12">
        <f>((P14-P16)-(X14-X16)+((AE14-AE16)/116))+1</f>
        <v>0.33223522167487662</v>
      </c>
      <c r="AT14" s="5">
        <f>(((P14-P16)-(X14-X16)+((AE14-AE16)/100))/2)+1</f>
        <v>0.64869642857142851</v>
      </c>
    </row>
    <row r="15" spans="1:46" ht="15" customHeight="1" x14ac:dyDescent="0.25">
      <c r="A15" s="47" t="s">
        <v>25</v>
      </c>
      <c r="B15" s="48">
        <v>17</v>
      </c>
      <c r="C15" s="48">
        <v>4</v>
      </c>
      <c r="D15" s="48">
        <v>8</v>
      </c>
      <c r="E15" s="48">
        <v>35</v>
      </c>
      <c r="F15" s="48">
        <v>3</v>
      </c>
      <c r="G15" s="48">
        <v>1</v>
      </c>
      <c r="H15" s="48">
        <v>2</v>
      </c>
      <c r="I15" s="48">
        <v>57</v>
      </c>
      <c r="J15" s="48">
        <v>1</v>
      </c>
      <c r="K15" s="48">
        <v>2</v>
      </c>
      <c r="L15" s="48">
        <v>110</v>
      </c>
      <c r="M15" s="48">
        <v>22</v>
      </c>
      <c r="N15" s="48">
        <v>3449</v>
      </c>
      <c r="O15" s="48">
        <v>66</v>
      </c>
      <c r="P15" s="47">
        <f t="shared" si="0"/>
        <v>0.26</v>
      </c>
      <c r="Q15" s="58">
        <f>(D15/O15)</f>
        <v>0.12121212121212122</v>
      </c>
      <c r="R15" s="47">
        <f t="shared" si="1"/>
        <v>0.41</v>
      </c>
      <c r="S15" s="58">
        <f>(E15/O15)*100</f>
        <v>53.030303030303031</v>
      </c>
      <c r="T15" s="47">
        <f>ROUND((D15/E15)*100,2)</f>
        <v>22.86</v>
      </c>
      <c r="U15" s="58">
        <f>F15/O15</f>
        <v>4.5454545454545456E-2</v>
      </c>
      <c r="V15" s="58">
        <f>G15/O15</f>
        <v>1.5151515151515152E-2</v>
      </c>
      <c r="W15" s="58">
        <f>H15/O15</f>
        <v>3.0303030303030304E-2</v>
      </c>
      <c r="X15" s="47">
        <f>ROUND(IMDIV(I15,O15),2)</f>
        <v>0.86</v>
      </c>
      <c r="Y15" s="47">
        <f>ROUND(IMDIV(J15,O15),2)</f>
        <v>0.02</v>
      </c>
      <c r="Z15" s="47">
        <f>ROUND(IMDIV(K15,O15),2)</f>
        <v>0.03</v>
      </c>
      <c r="AA15" s="47">
        <f>ROUND(IMDIV(L15,O15),2)</f>
        <v>1.67</v>
      </c>
      <c r="AB15" s="47">
        <f>ROUND(IMDIV(M15,O15),2)</f>
        <v>0.33</v>
      </c>
      <c r="AC15" s="47">
        <f>ROUND(IMDIV(B15,I15),2)</f>
        <v>0.3</v>
      </c>
      <c r="AD15" s="47">
        <f>ROUND(IMDIV(C15,B15),4)*100</f>
        <v>23.53</v>
      </c>
      <c r="AE15" s="47">
        <f>ROUND(IMDIV(N15,O15),2)</f>
        <v>52.26</v>
      </c>
      <c r="AF15" s="47" t="s">
        <v>45</v>
      </c>
      <c r="AG15" s="47" t="s">
        <v>28</v>
      </c>
      <c r="AH15" s="73">
        <f t="shared" si="2"/>
        <v>0.44721742424242417</v>
      </c>
      <c r="AI15" s="66">
        <f>(((P15-Q15+1.25*Q15)/2)+(U15/3)-(X15-0.2*Y15+0.5*Z15)+(AE15/250)+(AB15/20))+1</f>
        <v>0.51484303030303025</v>
      </c>
      <c r="AJ15" s="62">
        <f>(((P15-Q15+1.25*Q15+U15)/2)+(1-(X15-0.25*Y15+0.5*Z15))+(AE15/200)+(AB15/18))</f>
        <v>0.57751212121212114</v>
      </c>
      <c r="AK15" s="23">
        <f>((P15/2)+(1-(X15-0.25*Y15+0.5*Z15))+(AE15/200)+(AB15/18))</f>
        <v>0.5396333333333333</v>
      </c>
      <c r="AL15" s="20">
        <f>(((P15/2)+(1-X15)+(AE15/200)+(AB15/9)))/1.06</f>
        <v>0.53581761006289297</v>
      </c>
      <c r="AM15" s="18">
        <f>((P15/2)+(1-X15)+(AE15/200)+(AB15/9))</f>
        <v>0.56796666666666662</v>
      </c>
      <c r="AN15" s="15">
        <f>((P15/2)+(1-X15)+(AE15/200))</f>
        <v>0.53129999999999999</v>
      </c>
      <c r="AO15" s="68">
        <f>(((P15-Q15+1.25*Q15)/2)+(U15/3)-(X15-0.2*Y15+0.5*Z15)+(AE15/250)+(AB15/18))*10</f>
        <v>-4.833236363636364</v>
      </c>
      <c r="AP15" s="10">
        <f>(((P15-P16)-(X15-X16)+((AE15-AE16)/100))/2)*10</f>
        <v>-3.5485357142857152</v>
      </c>
      <c r="AQ15" s="2">
        <f>(((P15-P16)-(X15-X16)+(AE15-AE16))/100)+1</f>
        <v>0.82489285714285698</v>
      </c>
      <c r="AR15" s="12">
        <f>((P15-P16)-(X15-X16)+((AE15-AE16)/100))*10</f>
        <v>-7.0970714285714305</v>
      </c>
      <c r="AS15" s="12">
        <f>((P15-P16)-(X15-X16)+((AE15-AE16)/116))+1</f>
        <v>0.31370073891625605</v>
      </c>
      <c r="AT15" s="5">
        <f>(((P15-P16)-(X15-X16)+((AE15-AE16)/100))/2)+1</f>
        <v>0.64514642857142845</v>
      </c>
    </row>
    <row r="16" spans="1:46" ht="15" customHeight="1" x14ac:dyDescent="0.25">
      <c r="A16" s="3" t="s">
        <v>32</v>
      </c>
      <c r="B16" s="1"/>
      <c r="C16" s="1"/>
      <c r="D16" s="49"/>
      <c r="E16" s="49"/>
      <c r="F16" s="49"/>
      <c r="G16" s="49"/>
      <c r="H16" s="49"/>
      <c r="I16" s="1"/>
      <c r="J16" s="49"/>
      <c r="K16" s="49"/>
      <c r="L16" s="1"/>
      <c r="M16" s="1"/>
      <c r="N16" s="1"/>
      <c r="O16" s="1" t="s">
        <v>33</v>
      </c>
      <c r="P16" s="74">
        <f t="shared" ref="P16:Y16" si="3">AVERAGE(P2:P15)</f>
        <v>0.58357142857142852</v>
      </c>
      <c r="Q16" s="74">
        <f t="shared" si="3"/>
        <v>0.234607572608863</v>
      </c>
      <c r="R16" s="74">
        <f t="shared" si="3"/>
        <v>0.26428571428571429</v>
      </c>
      <c r="S16" s="74">
        <f t="shared" si="3"/>
        <v>49.963369963369971</v>
      </c>
      <c r="T16" s="74">
        <f t="shared" si="3"/>
        <v>45.789285714285718</v>
      </c>
      <c r="U16" s="74">
        <f t="shared" si="3"/>
        <v>0.13403708659813482</v>
      </c>
      <c r="V16" s="74">
        <f t="shared" si="3"/>
        <v>5.5241633986422553E-2</v>
      </c>
      <c r="W16" s="74">
        <f t="shared" si="3"/>
        <v>5.2706944688779123E-2</v>
      </c>
      <c r="X16" s="74">
        <f t="shared" si="3"/>
        <v>0.64357142857142846</v>
      </c>
      <c r="Y16" s="74">
        <f t="shared" si="3"/>
        <v>3.3571428571428578E-2</v>
      </c>
      <c r="Z16" s="75"/>
      <c r="AA16" s="74">
        <f>AVERAGE(AA2:AA15)</f>
        <v>2.6671428571428573</v>
      </c>
      <c r="AB16" s="74">
        <f>AVERAGE(AB2:AB15)</f>
        <v>0.18857142857142858</v>
      </c>
      <c r="AC16" s="74">
        <f>AVERAGE(AC2:AC15)</f>
        <v>0.96071428571428608</v>
      </c>
      <c r="AD16" s="74">
        <f>AVERAGE(AD2:AD15)</f>
        <v>47.124285714285705</v>
      </c>
      <c r="AE16" s="74">
        <f>AVERAGE(AE2:AE15)</f>
        <v>69.230714285714299</v>
      </c>
      <c r="AF16" s="1"/>
      <c r="AG16" s="1"/>
      <c r="AH16" s="72">
        <f t="shared" ref="AH16:AT16" si="4">AVERAGE(AH2:AH15)</f>
        <v>0.9958620915162768</v>
      </c>
      <c r="AI16" s="66">
        <f t="shared" si="4"/>
        <v>1.0138564040135816</v>
      </c>
      <c r="AJ16" s="62">
        <f t="shared" si="4"/>
        <v>1.1081528232085087</v>
      </c>
      <c r="AK16" s="23">
        <f t="shared" si="4"/>
        <v>1.0118083333333334</v>
      </c>
      <c r="AL16" s="20">
        <f t="shared" si="4"/>
        <v>0.95784928122192259</v>
      </c>
      <c r="AM16" s="18">
        <f t="shared" si="4"/>
        <v>1.0153202380952382</v>
      </c>
      <c r="AN16" s="15">
        <f t="shared" si="4"/>
        <v>0.99436785714285725</v>
      </c>
      <c r="AO16" s="68">
        <f t="shared" si="4"/>
        <v>0.14904023061200464</v>
      </c>
      <c r="AP16" s="10">
        <f t="shared" si="4"/>
        <v>0.89241836734693814</v>
      </c>
      <c r="AQ16" s="2">
        <f t="shared" si="4"/>
        <v>1.0688765306122447</v>
      </c>
      <c r="AR16" s="12">
        <f t="shared" si="4"/>
        <v>1.7848367346938763</v>
      </c>
      <c r="AS16" s="12">
        <f t="shared" si="4"/>
        <v>1.1691361717100632</v>
      </c>
      <c r="AT16" s="5">
        <f t="shared" si="4"/>
        <v>1.0892418367346939</v>
      </c>
    </row>
    <row r="17" spans="1:46" ht="15" customHeight="1" x14ac:dyDescent="0.25">
      <c r="A17" s="6" t="s">
        <v>36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 t="s">
        <v>34</v>
      </c>
      <c r="P17" s="74">
        <f t="shared" ref="P17:Y17" si="5">MEDIAN(P2,P15)</f>
        <v>0.51</v>
      </c>
      <c r="Q17" s="74">
        <f t="shared" si="5"/>
        <v>0.20566778900112234</v>
      </c>
      <c r="R17" s="74">
        <f t="shared" si="5"/>
        <v>0.28999999999999998</v>
      </c>
      <c r="S17" s="74">
        <f t="shared" si="5"/>
        <v>49.663299663299668</v>
      </c>
      <c r="T17" s="74">
        <f t="shared" si="5"/>
        <v>42.765000000000001</v>
      </c>
      <c r="U17" s="74">
        <f t="shared" si="5"/>
        <v>0.12149270482603815</v>
      </c>
      <c r="V17" s="74">
        <f t="shared" si="5"/>
        <v>7.2390572390572394E-2</v>
      </c>
      <c r="W17" s="74">
        <f t="shared" si="5"/>
        <v>5.2188552188552187E-2</v>
      </c>
      <c r="X17" s="74">
        <f t="shared" si="5"/>
        <v>0.67500000000000004</v>
      </c>
      <c r="Y17" s="74">
        <f t="shared" si="5"/>
        <v>0.01</v>
      </c>
      <c r="Z17" s="75"/>
      <c r="AA17" s="74">
        <f>MEDIAN(AA2,AA15)</f>
        <v>2.1950000000000003</v>
      </c>
      <c r="AB17" s="74">
        <f>MEDIAN(AB2,AB15)</f>
        <v>0.30000000000000004</v>
      </c>
      <c r="AC17" s="74">
        <f>MEDIAN(AC2,AC15)</f>
        <v>0.92999999999999994</v>
      </c>
      <c r="AD17" s="74">
        <f>MEDIAN(AD2,AD15)</f>
        <v>36.97</v>
      </c>
      <c r="AE17" s="74">
        <f>MEDIAN(AE2,AE15)</f>
        <v>66.349999999999994</v>
      </c>
      <c r="AF17" s="1"/>
      <c r="AG17" s="1"/>
      <c r="AH17" s="78">
        <f t="shared" ref="AH17:AT17" si="6">MEDIAN(AH2:AH15)</f>
        <v>1.1300312397824004</v>
      </c>
      <c r="AI17" s="66">
        <f t="shared" si="6"/>
        <v>1.1343585089351147</v>
      </c>
      <c r="AJ17" s="62">
        <f t="shared" si="6"/>
        <v>1.2402290038897343</v>
      </c>
      <c r="AK17" s="23">
        <f t="shared" si="6"/>
        <v>1.125561111111111</v>
      </c>
      <c r="AL17" s="20">
        <f t="shared" si="6"/>
        <v>1.0652568134171907</v>
      </c>
      <c r="AM17" s="18">
        <f t="shared" si="6"/>
        <v>1.129172222222222</v>
      </c>
      <c r="AN17" s="15">
        <f t="shared" si="6"/>
        <v>1.1069499999999999</v>
      </c>
      <c r="AO17" s="68">
        <f t="shared" si="6"/>
        <v>1.3546962004622589</v>
      </c>
      <c r="AP17" s="10">
        <f t="shared" si="6"/>
        <v>1.1095000000000002</v>
      </c>
      <c r="AQ17" s="2">
        <f t="shared" si="6"/>
        <v>1.093925</v>
      </c>
      <c r="AR17" s="12">
        <f t="shared" si="6"/>
        <v>2.2190000000000003</v>
      </c>
      <c r="AS17" s="12">
        <f t="shared" si="6"/>
        <v>1.2095689655172415</v>
      </c>
      <c r="AT17" s="5">
        <f t="shared" si="6"/>
        <v>1.1109499999999999</v>
      </c>
    </row>
    <row r="18" spans="1:46" ht="15" customHeight="1" x14ac:dyDescent="0.25">
      <c r="A18" s="1" t="s">
        <v>37</v>
      </c>
      <c r="M18" t="s">
        <v>100</v>
      </c>
      <c r="AG18" s="82"/>
      <c r="AH18" s="83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84"/>
    </row>
    <row r="19" spans="1:46" ht="15" customHeight="1" x14ac:dyDescent="0.25">
      <c r="A19" s="7" t="s">
        <v>41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 t="s">
        <v>99</v>
      </c>
      <c r="O19" s="1">
        <v>27</v>
      </c>
      <c r="P19" s="1">
        <v>0.74</v>
      </c>
      <c r="Q19" s="1">
        <v>0.22</v>
      </c>
      <c r="R19" s="49">
        <v>0</v>
      </c>
      <c r="S19" s="79">
        <v>37.04</v>
      </c>
      <c r="T19" s="1">
        <v>60</v>
      </c>
      <c r="U19" s="79">
        <v>0.22</v>
      </c>
      <c r="V19" s="79">
        <v>0</v>
      </c>
      <c r="W19" s="79">
        <v>0.15</v>
      </c>
      <c r="X19" s="1">
        <v>0.56000000000000005</v>
      </c>
      <c r="Y19" s="79">
        <v>0</v>
      </c>
      <c r="Z19" s="1">
        <v>0</v>
      </c>
      <c r="AA19" s="1">
        <v>2.44</v>
      </c>
      <c r="AB19" s="1">
        <v>0.3</v>
      </c>
      <c r="AC19" s="79">
        <v>1.33</v>
      </c>
      <c r="AD19" s="1">
        <v>40</v>
      </c>
      <c r="AE19" s="79">
        <v>89.78</v>
      </c>
      <c r="AF19" s="1"/>
      <c r="AG19" s="81"/>
      <c r="AH19" s="73">
        <f>(((P19+0.25*Q19)/2)+(U19/3)+0.25*((V19/4)+W19)-(X19+0.25*R19-0.15*Y19+0.5*Z19)+(AE19/225)+(AB19/16))+1</f>
        <v>1.3661055555555555</v>
      </c>
      <c r="AI19" s="12"/>
      <c r="AJ19" s="12"/>
      <c r="AK19" s="12"/>
      <c r="AL19" s="12"/>
      <c r="AM19" s="12"/>
      <c r="AN19" s="12"/>
      <c r="AO19" s="12"/>
      <c r="AP19" s="84"/>
      <c r="AQ19" s="84"/>
      <c r="AR19" s="84"/>
      <c r="AS19" s="84"/>
    </row>
    <row r="20" spans="1:46" ht="15" customHeight="1" x14ac:dyDescent="0.25">
      <c r="A20" s="7" t="s">
        <v>43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 t="s">
        <v>92</v>
      </c>
      <c r="O20" s="1">
        <v>27</v>
      </c>
      <c r="P20" s="1">
        <v>0.67</v>
      </c>
      <c r="Q20" s="1">
        <v>0.33</v>
      </c>
      <c r="R20" s="49">
        <v>0</v>
      </c>
      <c r="S20" s="79">
        <v>62.96</v>
      </c>
      <c r="T20" s="1">
        <v>52.94</v>
      </c>
      <c r="U20" s="79">
        <v>0.26</v>
      </c>
      <c r="V20" s="79">
        <v>0.15</v>
      </c>
      <c r="W20" s="79">
        <v>7.0000000000000007E-2</v>
      </c>
      <c r="X20" s="1">
        <v>0.48</v>
      </c>
      <c r="Y20" s="79">
        <v>0</v>
      </c>
      <c r="Z20" s="1">
        <v>0</v>
      </c>
      <c r="AA20" s="1">
        <v>1.56</v>
      </c>
      <c r="AB20" s="1">
        <v>0.52</v>
      </c>
      <c r="AC20" s="79">
        <v>1.38</v>
      </c>
      <c r="AD20" s="1">
        <v>55.56</v>
      </c>
      <c r="AE20" s="79">
        <v>79.930000000000007</v>
      </c>
      <c r="AF20" s="1"/>
      <c r="AG20" s="81"/>
      <c r="AH20" s="73">
        <f t="shared" ref="AH20:AH30" si="7">(((P20+0.25*Q20)/2)+(U20/3)+0.25*((V20/4)+W20)-(X20+0.25*R20-0.15*Y20+0.5*Z20)+(AE20/225)+(AB20/16))+1</f>
        <v>1.3975361111111111</v>
      </c>
      <c r="AI20" s="12"/>
      <c r="AJ20" s="12"/>
      <c r="AK20" s="12"/>
      <c r="AL20" s="12"/>
      <c r="AM20" s="12"/>
      <c r="AN20" s="12"/>
      <c r="AO20" s="12"/>
      <c r="AP20" s="84"/>
      <c r="AQ20" s="84"/>
      <c r="AR20" s="84"/>
      <c r="AS20" s="84"/>
    </row>
    <row r="21" spans="1:46" ht="15" customHeight="1" x14ac:dyDescent="0.25">
      <c r="A21" s="13" t="s">
        <v>48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t="s">
        <v>94</v>
      </c>
      <c r="O21" s="1">
        <v>27</v>
      </c>
      <c r="P21" s="1">
        <v>0.67</v>
      </c>
      <c r="Q21" s="1">
        <v>0.3</v>
      </c>
      <c r="R21" s="49">
        <v>0</v>
      </c>
      <c r="S21" s="1">
        <v>44.44</v>
      </c>
      <c r="T21" s="1">
        <v>75</v>
      </c>
      <c r="U21" s="79">
        <v>0.15</v>
      </c>
      <c r="V21" s="79">
        <v>0</v>
      </c>
      <c r="W21" s="1">
        <v>7.0000000000000007E-2</v>
      </c>
      <c r="X21" s="1">
        <v>0.7</v>
      </c>
      <c r="Y21" s="1">
        <v>0.04</v>
      </c>
      <c r="Z21" s="1">
        <v>0</v>
      </c>
      <c r="AA21" s="1">
        <v>0.22</v>
      </c>
      <c r="AB21" s="1">
        <v>0.15</v>
      </c>
      <c r="AC21" s="79">
        <v>0.95</v>
      </c>
      <c r="AD21" s="1">
        <v>55.56</v>
      </c>
      <c r="AE21" s="79">
        <v>75</v>
      </c>
      <c r="AF21" s="1"/>
      <c r="AG21" s="81"/>
      <c r="AH21" s="73">
        <f t="shared" si="7"/>
        <v>1.0887083333333334</v>
      </c>
      <c r="AI21" s="12"/>
      <c r="AJ21" s="12"/>
      <c r="AK21" s="12"/>
      <c r="AL21" s="12"/>
      <c r="AM21" s="12"/>
      <c r="AN21" s="12"/>
      <c r="AO21" s="12"/>
      <c r="AP21" s="84"/>
      <c r="AQ21" s="84"/>
      <c r="AR21" s="84"/>
      <c r="AS21" s="84"/>
    </row>
    <row r="22" spans="1:46" ht="15" customHeight="1" x14ac:dyDescent="0.25">
      <c r="A22" s="16" t="s">
        <v>53</v>
      </c>
      <c r="N22" s="1" t="s">
        <v>93</v>
      </c>
      <c r="O22" s="79">
        <v>27</v>
      </c>
      <c r="P22" s="1">
        <v>0.37</v>
      </c>
      <c r="Q22">
        <v>0.15</v>
      </c>
      <c r="R22">
        <v>0</v>
      </c>
      <c r="S22">
        <v>55.56</v>
      </c>
      <c r="T22" s="1">
        <v>26.67</v>
      </c>
      <c r="U22">
        <v>7.0000000000000007E-2</v>
      </c>
      <c r="V22" s="79">
        <v>0</v>
      </c>
      <c r="W22">
        <v>0.04</v>
      </c>
      <c r="X22" s="79">
        <v>0.7</v>
      </c>
      <c r="Y22" s="79">
        <v>0</v>
      </c>
      <c r="Z22" s="79">
        <v>0</v>
      </c>
      <c r="AA22" s="79">
        <v>1.74</v>
      </c>
      <c r="AB22" s="1">
        <v>0.15</v>
      </c>
      <c r="AC22" s="79">
        <v>0.53</v>
      </c>
      <c r="AD22" s="79">
        <v>40</v>
      </c>
      <c r="AE22">
        <v>57.41</v>
      </c>
      <c r="AG22" s="84"/>
      <c r="AH22" s="73">
        <f t="shared" si="7"/>
        <v>0.80161388888888885</v>
      </c>
      <c r="AI22" s="12"/>
      <c r="AJ22" s="12"/>
      <c r="AK22" s="12"/>
      <c r="AL22" s="12"/>
      <c r="AM22" s="12"/>
      <c r="AN22" s="12"/>
      <c r="AO22" s="12"/>
      <c r="AP22" s="84"/>
      <c r="AQ22" s="84"/>
      <c r="AR22" s="84"/>
      <c r="AS22" s="84"/>
    </row>
    <row r="23" spans="1:46" ht="15" customHeight="1" x14ac:dyDescent="0.25">
      <c r="A23" s="16" t="s">
        <v>56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81"/>
      <c r="O23" s="81"/>
      <c r="P23" s="79"/>
      <c r="Q23" s="81"/>
      <c r="R23" s="79"/>
      <c r="S23" s="81"/>
      <c r="T23" s="81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81"/>
      <c r="AG23" s="81"/>
      <c r="AH23" s="85"/>
      <c r="AI23" s="12"/>
      <c r="AJ23" s="12"/>
      <c r="AK23" s="12"/>
      <c r="AL23" s="12"/>
      <c r="AM23" s="12"/>
      <c r="AN23" s="12"/>
      <c r="AO23" s="12"/>
      <c r="AP23" s="84"/>
      <c r="AQ23" s="84"/>
      <c r="AR23" s="84"/>
      <c r="AS23" s="84"/>
    </row>
    <row r="24" spans="1:46" ht="15" customHeight="1" x14ac:dyDescent="0.25">
      <c r="A24" s="24" t="s">
        <v>65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81"/>
      <c r="O24" s="81"/>
      <c r="P24" s="79"/>
      <c r="Q24" s="79"/>
      <c r="R24" s="79"/>
      <c r="S24" s="81"/>
      <c r="T24" s="81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81"/>
      <c r="AG24" s="81"/>
      <c r="AH24" s="85"/>
      <c r="AI24" s="12"/>
      <c r="AJ24" s="12"/>
      <c r="AK24" s="12"/>
      <c r="AL24" s="12"/>
      <c r="AM24" s="12"/>
      <c r="AN24" s="12"/>
      <c r="AO24" s="12"/>
      <c r="AP24" s="84"/>
      <c r="AQ24" s="84"/>
      <c r="AR24" s="84"/>
      <c r="AS24" s="84"/>
    </row>
    <row r="25" spans="1:46" ht="15" customHeight="1" x14ac:dyDescent="0.25">
      <c r="A25" s="63" t="s">
        <v>73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81"/>
      <c r="O25" s="81"/>
      <c r="P25" s="79"/>
      <c r="Q25" s="79"/>
      <c r="R25" s="79"/>
      <c r="S25" s="81"/>
      <c r="T25" s="81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81"/>
      <c r="AG25" s="81"/>
      <c r="AH25" s="85"/>
      <c r="AI25" s="12"/>
      <c r="AJ25" s="12"/>
      <c r="AK25" s="12"/>
      <c r="AL25" s="12"/>
      <c r="AM25" s="12"/>
      <c r="AN25" s="12"/>
      <c r="AO25" s="12"/>
      <c r="AP25" s="84"/>
      <c r="AQ25" s="84"/>
      <c r="AR25" s="84"/>
      <c r="AS25" s="84"/>
    </row>
    <row r="26" spans="1:46" ht="15" customHeight="1" x14ac:dyDescent="0.25">
      <c r="A26" s="70" t="s">
        <v>79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81"/>
      <c r="O26" s="81"/>
      <c r="P26" s="79"/>
      <c r="Q26" s="79"/>
      <c r="R26" s="79"/>
      <c r="S26" s="81"/>
      <c r="T26" s="81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81"/>
      <c r="AG26" s="81"/>
      <c r="AH26" s="85"/>
      <c r="AI26" s="12"/>
      <c r="AJ26" s="12"/>
      <c r="AK26" s="12"/>
      <c r="AL26" s="12"/>
      <c r="AM26" s="12"/>
      <c r="AN26" s="12"/>
      <c r="AO26" s="12"/>
      <c r="AP26" s="84"/>
      <c r="AQ26" s="84"/>
      <c r="AR26" s="84"/>
      <c r="AS26" s="84"/>
    </row>
    <row r="27" spans="1:46" ht="15" customHeight="1" x14ac:dyDescent="0.25">
      <c r="A27" s="70" t="s">
        <v>80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81"/>
      <c r="O27" s="81"/>
      <c r="P27" s="79"/>
      <c r="Q27" s="79"/>
      <c r="R27" s="79"/>
      <c r="S27" s="81"/>
      <c r="T27" s="81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81"/>
      <c r="AG27" s="81"/>
      <c r="AH27" s="85"/>
      <c r="AI27" s="12"/>
      <c r="AJ27" s="12"/>
      <c r="AK27" s="12"/>
      <c r="AL27" s="12"/>
      <c r="AM27" s="12"/>
      <c r="AN27" s="12"/>
      <c r="AO27" s="12"/>
      <c r="AP27" s="84"/>
      <c r="AQ27" s="84"/>
      <c r="AR27" s="84"/>
      <c r="AS27" s="84"/>
    </row>
    <row r="28" spans="1:46" ht="15" customHeight="1" x14ac:dyDescent="0.25">
      <c r="A28" s="80" t="s">
        <v>89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81"/>
      <c r="O28" s="81"/>
      <c r="P28" s="79"/>
      <c r="Q28" s="79"/>
      <c r="R28" s="79"/>
      <c r="S28" s="81"/>
      <c r="T28" s="81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81"/>
      <c r="AG28" s="81"/>
      <c r="AH28" s="85"/>
      <c r="AI28" s="12"/>
      <c r="AJ28" s="12"/>
      <c r="AK28" s="12"/>
      <c r="AL28" s="12"/>
      <c r="AM28" s="12"/>
      <c r="AN28" s="12"/>
      <c r="AO28" s="12"/>
      <c r="AP28" s="84"/>
      <c r="AQ28" s="84"/>
      <c r="AR28" s="84"/>
      <c r="AS28" s="84"/>
    </row>
    <row r="29" spans="1:46" ht="15" customHeight="1" x14ac:dyDescent="0.25">
      <c r="A29" s="86" t="s">
        <v>98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79"/>
      <c r="Q29" s="79"/>
      <c r="R29" s="79"/>
      <c r="S29" s="81"/>
      <c r="T29" s="81"/>
      <c r="U29" s="79"/>
      <c r="V29" s="79"/>
      <c r="W29" s="79"/>
      <c r="X29" s="79"/>
      <c r="Y29" s="79"/>
      <c r="Z29" s="79"/>
      <c r="AA29" s="79"/>
      <c r="AB29" s="79"/>
      <c r="AC29" s="81"/>
      <c r="AD29" s="81"/>
      <c r="AE29" s="79"/>
      <c r="AF29" s="81"/>
      <c r="AG29" s="81"/>
      <c r="AH29" s="85"/>
      <c r="AI29" s="12"/>
      <c r="AJ29" s="12"/>
      <c r="AK29" s="12"/>
      <c r="AL29" s="12"/>
      <c r="AM29" s="12"/>
      <c r="AN29" s="12"/>
      <c r="AO29" s="12"/>
      <c r="AP29" s="84"/>
      <c r="AQ29" s="84"/>
      <c r="AR29" s="84"/>
      <c r="AS29" s="84"/>
    </row>
    <row r="30" spans="1:46" ht="15" customHeight="1" x14ac:dyDescent="0.25"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88"/>
      <c r="Q30" s="88"/>
      <c r="R30" s="89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1"/>
      <c r="AG30" s="81"/>
      <c r="AH30" s="85"/>
      <c r="AI30" s="12"/>
      <c r="AJ30" s="12"/>
      <c r="AK30" s="12"/>
      <c r="AL30" s="12"/>
      <c r="AM30" s="12"/>
      <c r="AN30" s="12"/>
      <c r="AO30" s="12"/>
      <c r="AP30" s="84"/>
      <c r="AQ30" s="84"/>
      <c r="AR30" s="84"/>
      <c r="AS30" s="84"/>
    </row>
    <row r="31" spans="1:46" ht="15" customHeight="1" x14ac:dyDescent="0.25">
      <c r="A31" s="13" t="s">
        <v>47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74"/>
      <c r="Q31" s="74"/>
      <c r="R31" s="75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4"/>
      <c r="AF31" s="1"/>
      <c r="AG31" s="81"/>
      <c r="AH31" s="85"/>
      <c r="AI31" s="84"/>
      <c r="AJ31" s="84"/>
      <c r="AK31" s="84"/>
      <c r="AL31" s="84"/>
      <c r="AM31" s="84"/>
      <c r="AN31" s="84"/>
      <c r="AO31" s="84"/>
      <c r="AP31" s="84"/>
      <c r="AQ31" s="84"/>
      <c r="AR31" s="84"/>
      <c r="AS31" s="84"/>
    </row>
    <row r="32" spans="1:46" ht="15" customHeight="1" x14ac:dyDescent="0.25">
      <c r="A32" s="16" t="s">
        <v>49</v>
      </c>
      <c r="B32" s="1"/>
    </row>
    <row r="33" spans="1:2" ht="15" customHeight="1" x14ac:dyDescent="0.25">
      <c r="B33" t="s">
        <v>55</v>
      </c>
    </row>
    <row r="34" spans="1:2" ht="15" customHeight="1" x14ac:dyDescent="0.25">
      <c r="B34" s="21" t="s">
        <v>59</v>
      </c>
    </row>
    <row r="35" spans="1:2" ht="15" customHeight="1" x14ac:dyDescent="0.25">
      <c r="B35" s="21" t="s">
        <v>57</v>
      </c>
    </row>
    <row r="36" spans="1:2" ht="15" customHeight="1" x14ac:dyDescent="0.25">
      <c r="B36" s="25" t="s">
        <v>60</v>
      </c>
    </row>
    <row r="37" spans="1:2" ht="15" customHeight="1" x14ac:dyDescent="0.25">
      <c r="B37" s="69" t="s">
        <v>77</v>
      </c>
    </row>
    <row r="38" spans="1:2" ht="15" customHeight="1" x14ac:dyDescent="0.25">
      <c r="B38" s="69" t="s">
        <v>78</v>
      </c>
    </row>
    <row r="39" spans="1:2" ht="15" customHeight="1" x14ac:dyDescent="0.25">
      <c r="B39" s="76" t="s">
        <v>86</v>
      </c>
    </row>
    <row r="40" spans="1:2" ht="15" customHeight="1" x14ac:dyDescent="0.25">
      <c r="A40" s="13" t="s">
        <v>50</v>
      </c>
    </row>
  </sheetData>
  <sortState xmlns:xlrd2="http://schemas.microsoft.com/office/spreadsheetml/2017/richdata2" ref="A2:AT39">
    <sortCondition sortBy="cellColor" ref="AF12:AF39" dxfId="0"/>
  </sortState>
  <phoneticPr fontId="16" type="noConversion"/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2025-12-05T19:49:37Z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