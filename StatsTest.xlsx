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"/>
    </mc:Choice>
  </mc:AlternateContent>
  <xr:revisionPtr revIDLastSave="0" documentId="13_ncr:1_{509916B2-E701-4F7A-BD97-74AD07AD46D5}" xr6:coauthVersionLast="47" xr6:coauthVersionMax="47" xr10:uidLastSave="{00000000-0000-0000-0000-000000000000}"/>
  <bookViews>
    <workbookView xWindow="2730" yWindow="2730" windowWidth="27465" windowHeight="15420" tabRatio="38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AG2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19" i="1"/>
  <c r="W12" i="1"/>
  <c r="AJ35" i="1"/>
  <c r="AM35" i="1"/>
  <c r="AD8" i="1"/>
  <c r="V8" i="1"/>
  <c r="AL35" i="1"/>
  <c r="AH34" i="1"/>
  <c r="AI34" i="1"/>
  <c r="AJ34" i="1"/>
  <c r="AK34" i="1"/>
  <c r="AL34" i="1"/>
  <c r="AM34" i="1"/>
  <c r="AN34" i="1"/>
  <c r="AH33" i="1"/>
  <c r="AI33" i="1"/>
  <c r="AJ33" i="1"/>
  <c r="AK33" i="1"/>
  <c r="AL33" i="1"/>
  <c r="AN33" i="1"/>
  <c r="AH32" i="1"/>
  <c r="AI32" i="1"/>
  <c r="AJ32" i="1"/>
  <c r="AK32" i="1"/>
  <c r="AL32" i="1"/>
  <c r="AN32" i="1"/>
  <c r="AM33" i="1"/>
  <c r="AM32" i="1"/>
  <c r="AH31" i="1"/>
  <c r="AI31" i="1"/>
  <c r="AJ31" i="1"/>
  <c r="AK31" i="1"/>
  <c r="AL31" i="1"/>
  <c r="AM31" i="1"/>
  <c r="AN31" i="1"/>
  <c r="AH30" i="1"/>
  <c r="AI30" i="1"/>
  <c r="AJ30" i="1"/>
  <c r="AK30" i="1"/>
  <c r="AL30" i="1"/>
  <c r="AM30" i="1"/>
  <c r="AN30" i="1"/>
  <c r="V3" i="1"/>
  <c r="V9" i="1"/>
  <c r="V5" i="1"/>
  <c r="V4" i="1"/>
  <c r="V6" i="1"/>
  <c r="V7" i="1"/>
  <c r="V10" i="1"/>
  <c r="V11" i="1"/>
  <c r="V12" i="1"/>
  <c r="V13" i="1"/>
  <c r="V15" i="1"/>
  <c r="V14" i="1"/>
  <c r="V2" i="1"/>
  <c r="U3" i="1"/>
  <c r="U8" i="1"/>
  <c r="U9" i="1"/>
  <c r="U5" i="1"/>
  <c r="U4" i="1"/>
  <c r="U6" i="1"/>
  <c r="U7" i="1"/>
  <c r="U10" i="1"/>
  <c r="U11" i="1"/>
  <c r="U12" i="1"/>
  <c r="U13" i="1"/>
  <c r="U15" i="1"/>
  <c r="U14" i="1"/>
  <c r="U2" i="1"/>
  <c r="AH20" i="1"/>
  <c r="AH21" i="1"/>
  <c r="AH22" i="1"/>
  <c r="AH23" i="1"/>
  <c r="AH24" i="1"/>
  <c r="AH25" i="1"/>
  <c r="AH26" i="1"/>
  <c r="AH27" i="1"/>
  <c r="AH28" i="1"/>
  <c r="AH29" i="1"/>
  <c r="AH19" i="1"/>
  <c r="AN20" i="1"/>
  <c r="AN21" i="1"/>
  <c r="AN22" i="1"/>
  <c r="AN23" i="1"/>
  <c r="AN24" i="1"/>
  <c r="AN25" i="1"/>
  <c r="AN26" i="1"/>
  <c r="AN27" i="1"/>
  <c r="AN28" i="1"/>
  <c r="AN29" i="1"/>
  <c r="AN19" i="1"/>
  <c r="AI29" i="1"/>
  <c r="AJ29" i="1"/>
  <c r="AK29" i="1"/>
  <c r="AL29" i="1"/>
  <c r="AM29" i="1"/>
  <c r="AM28" i="1"/>
  <c r="AL28" i="1"/>
  <c r="AK28" i="1"/>
  <c r="AJ28" i="1"/>
  <c r="AI28" i="1"/>
  <c r="AM27" i="1"/>
  <c r="AL27" i="1"/>
  <c r="AK27" i="1"/>
  <c r="AJ27" i="1"/>
  <c r="AI27" i="1"/>
  <c r="AM26" i="1"/>
  <c r="AL26" i="1"/>
  <c r="AK26" i="1"/>
  <c r="AJ26" i="1"/>
  <c r="AI26" i="1"/>
  <c r="AI25" i="1"/>
  <c r="AJ25" i="1"/>
  <c r="AK25" i="1"/>
  <c r="AL25" i="1"/>
  <c r="AM25" i="1"/>
  <c r="AI20" i="1"/>
  <c r="AI21" i="1"/>
  <c r="AI22" i="1"/>
  <c r="AI23" i="1"/>
  <c r="AI24" i="1"/>
  <c r="AI19" i="1"/>
  <c r="R14" i="1"/>
  <c r="R15" i="1"/>
  <c r="R13" i="1"/>
  <c r="R12" i="1"/>
  <c r="R10" i="1"/>
  <c r="R11" i="1"/>
  <c r="R7" i="1"/>
  <c r="R6" i="1"/>
  <c r="R4" i="1"/>
  <c r="R5" i="1"/>
  <c r="R9" i="1"/>
  <c r="R8" i="1"/>
  <c r="R3" i="1"/>
  <c r="R2" i="1"/>
  <c r="Q3" i="1"/>
  <c r="Q8" i="1"/>
  <c r="Q9" i="1"/>
  <c r="Q5" i="1"/>
  <c r="Q4" i="1"/>
  <c r="Q6" i="1"/>
  <c r="Q7" i="1"/>
  <c r="Q10" i="1"/>
  <c r="Q11" i="1"/>
  <c r="Q12" i="1"/>
  <c r="Q13" i="1"/>
  <c r="Q15" i="1"/>
  <c r="Q14" i="1"/>
  <c r="Q2" i="1"/>
  <c r="S3" i="1"/>
  <c r="S8" i="1"/>
  <c r="S9" i="1"/>
  <c r="S5" i="1"/>
  <c r="S4" i="1"/>
  <c r="S6" i="1"/>
  <c r="S7" i="1"/>
  <c r="S10" i="1"/>
  <c r="S11" i="1"/>
  <c r="S12" i="1"/>
  <c r="S13" i="1"/>
  <c r="S15" i="1"/>
  <c r="S14" i="1"/>
  <c r="S2" i="1"/>
  <c r="T3" i="1"/>
  <c r="T8" i="1"/>
  <c r="T9" i="1"/>
  <c r="T5" i="1"/>
  <c r="T4" i="1"/>
  <c r="T6" i="1"/>
  <c r="T7" i="1"/>
  <c r="T10" i="1"/>
  <c r="T11" i="1"/>
  <c r="T12" i="1"/>
  <c r="T13" i="1"/>
  <c r="T15" i="1"/>
  <c r="T14" i="1"/>
  <c r="T2" i="1"/>
  <c r="AM24" i="1"/>
  <c r="AL24" i="1"/>
  <c r="AK24" i="1"/>
  <c r="AJ24" i="1"/>
  <c r="AJ20" i="1"/>
  <c r="AJ21" i="1"/>
  <c r="AJ22" i="1"/>
  <c r="AJ23" i="1"/>
  <c r="AJ19" i="1"/>
  <c r="Y3" i="1"/>
  <c r="Y8" i="1"/>
  <c r="Y9" i="1"/>
  <c r="Y5" i="1"/>
  <c r="Y4" i="1"/>
  <c r="Y6" i="1"/>
  <c r="Y7" i="1"/>
  <c r="Y10" i="1"/>
  <c r="Y11" i="1"/>
  <c r="Y12" i="1"/>
  <c r="Y13" i="1"/>
  <c r="Y15" i="1"/>
  <c r="Y14" i="1"/>
  <c r="Y2" i="1"/>
  <c r="X2" i="1"/>
  <c r="X14" i="1"/>
  <c r="X15" i="1"/>
  <c r="X13" i="1"/>
  <c r="X12" i="1"/>
  <c r="X11" i="1"/>
  <c r="X10" i="1"/>
  <c r="X7" i="1"/>
  <c r="X4" i="1"/>
  <c r="X5" i="1"/>
  <c r="X6" i="1"/>
  <c r="X9" i="1"/>
  <c r="X3" i="1"/>
  <c r="X8" i="1"/>
  <c r="AK20" i="1"/>
  <c r="AK21" i="1"/>
  <c r="AK22" i="1"/>
  <c r="AK23" i="1"/>
  <c r="AL20" i="1"/>
  <c r="AL21" i="1"/>
  <c r="AL22" i="1"/>
  <c r="AL23" i="1"/>
  <c r="AM20" i="1"/>
  <c r="AM21" i="1"/>
  <c r="AM22" i="1"/>
  <c r="AM23" i="1"/>
  <c r="AM19" i="1"/>
  <c r="AK19" i="1"/>
  <c r="AL19" i="1"/>
  <c r="AD14" i="1"/>
  <c r="AC14" i="1"/>
  <c r="AB14" i="1"/>
  <c r="AA14" i="1"/>
  <c r="Z14" i="1"/>
  <c r="W14" i="1"/>
  <c r="P14" i="1"/>
  <c r="AD15" i="1"/>
  <c r="AC15" i="1"/>
  <c r="AB15" i="1"/>
  <c r="AA15" i="1"/>
  <c r="Z15" i="1"/>
  <c r="W15" i="1"/>
  <c r="P15" i="1"/>
  <c r="AD13" i="1"/>
  <c r="AC13" i="1"/>
  <c r="AB13" i="1"/>
  <c r="AA13" i="1"/>
  <c r="Z13" i="1"/>
  <c r="W13" i="1"/>
  <c r="P13" i="1"/>
  <c r="AD12" i="1"/>
  <c r="AC12" i="1"/>
  <c r="AB12" i="1"/>
  <c r="AA12" i="1"/>
  <c r="Z12" i="1"/>
  <c r="P12" i="1"/>
  <c r="AD11" i="1"/>
  <c r="AC11" i="1"/>
  <c r="AB11" i="1"/>
  <c r="AA11" i="1"/>
  <c r="Z11" i="1"/>
  <c r="W11" i="1"/>
  <c r="P11" i="1"/>
  <c r="AD10" i="1"/>
  <c r="AC10" i="1"/>
  <c r="AB10" i="1"/>
  <c r="AA10" i="1"/>
  <c r="Z10" i="1"/>
  <c r="W10" i="1"/>
  <c r="P10" i="1"/>
  <c r="AD7" i="1"/>
  <c r="AC7" i="1"/>
  <c r="AB7" i="1"/>
  <c r="AA7" i="1"/>
  <c r="Z7" i="1"/>
  <c r="W7" i="1"/>
  <c r="P7" i="1"/>
  <c r="AD6" i="1"/>
  <c r="AC6" i="1"/>
  <c r="AB6" i="1"/>
  <c r="AA6" i="1"/>
  <c r="Z6" i="1"/>
  <c r="W6" i="1"/>
  <c r="P6" i="1"/>
  <c r="AD4" i="1"/>
  <c r="AC4" i="1"/>
  <c r="AB4" i="1"/>
  <c r="AA4" i="1"/>
  <c r="Z4" i="1"/>
  <c r="W4" i="1"/>
  <c r="P4" i="1"/>
  <c r="AD5" i="1"/>
  <c r="AC5" i="1"/>
  <c r="AB5" i="1"/>
  <c r="AA5" i="1"/>
  <c r="Z5" i="1"/>
  <c r="W5" i="1"/>
  <c r="P5" i="1"/>
  <c r="AD9" i="1"/>
  <c r="AC9" i="1"/>
  <c r="AB9" i="1"/>
  <c r="AA9" i="1"/>
  <c r="Z9" i="1"/>
  <c r="W9" i="1"/>
  <c r="P9" i="1"/>
  <c r="AC8" i="1"/>
  <c r="AB8" i="1"/>
  <c r="AA8" i="1"/>
  <c r="Z8" i="1"/>
  <c r="W8" i="1"/>
  <c r="P8" i="1"/>
  <c r="AD3" i="1"/>
  <c r="AC3" i="1"/>
  <c r="AB3" i="1"/>
  <c r="AA3" i="1"/>
  <c r="Z3" i="1"/>
  <c r="W3" i="1"/>
  <c r="P3" i="1"/>
  <c r="AD2" i="1"/>
  <c r="AC2" i="1"/>
  <c r="AB2" i="1"/>
  <c r="AA2" i="1"/>
  <c r="Z2" i="1"/>
  <c r="W2" i="1"/>
  <c r="P2" i="1"/>
  <c r="AK35" i="1" l="1"/>
  <c r="AN35" i="1"/>
  <c r="AI35" i="1"/>
  <c r="AH35" i="1"/>
  <c r="X17" i="1"/>
  <c r="U17" i="1"/>
  <c r="U16" i="1" s="1"/>
  <c r="X16" i="1"/>
  <c r="V17" i="1"/>
  <c r="V16" i="1" s="1"/>
  <c r="AN9" i="1"/>
  <c r="AN14" i="1"/>
  <c r="AH12" i="1"/>
  <c r="AH7" i="1"/>
  <c r="AN4" i="1"/>
  <c r="AN13" i="1"/>
  <c r="AH11" i="1"/>
  <c r="AH5" i="1"/>
  <c r="AH13" i="1"/>
  <c r="AH14" i="1"/>
  <c r="AN6" i="1"/>
  <c r="AN12" i="1"/>
  <c r="AH4" i="1"/>
  <c r="AN15" i="1"/>
  <c r="AH9" i="1"/>
  <c r="AN7" i="1"/>
  <c r="AN11" i="1"/>
  <c r="AH6" i="1"/>
  <c r="AN5" i="1"/>
  <c r="AH15" i="1"/>
  <c r="AN2" i="1"/>
  <c r="AN3" i="1"/>
  <c r="AH2" i="1"/>
  <c r="AN10" i="1"/>
  <c r="AN8" i="1"/>
  <c r="AH3" i="1"/>
  <c r="AH10" i="1"/>
  <c r="AH8" i="1"/>
  <c r="AI4" i="1"/>
  <c r="AI15" i="1"/>
  <c r="AI3" i="1"/>
  <c r="AI6" i="1"/>
  <c r="AI12" i="1"/>
  <c r="AI10" i="1"/>
  <c r="AI5" i="1"/>
  <c r="AI8" i="1"/>
  <c r="AI2" i="1"/>
  <c r="AI13" i="1"/>
  <c r="AI11" i="1"/>
  <c r="AI14" i="1"/>
  <c r="AI7" i="1"/>
  <c r="AI9" i="1"/>
  <c r="T17" i="1"/>
  <c r="T16" i="1" s="1"/>
  <c r="S17" i="1"/>
  <c r="S16" i="1" s="1"/>
  <c r="R17" i="1"/>
  <c r="R16" i="1" s="1"/>
  <c r="Q17" i="1"/>
  <c r="Q16" i="1" s="1"/>
  <c r="AL7" i="1"/>
  <c r="AL3" i="1"/>
  <c r="AJ6" i="1"/>
  <c r="AJ12" i="1"/>
  <c r="AL11" i="1"/>
  <c r="AL5" i="1"/>
  <c r="AJ11" i="1"/>
  <c r="AJ13" i="1"/>
  <c r="AJ15" i="1"/>
  <c r="AJ9" i="1"/>
  <c r="AL6" i="1"/>
  <c r="AL14" i="1"/>
  <c r="AJ4" i="1"/>
  <c r="AL2" i="1"/>
  <c r="AJ10" i="1"/>
  <c r="AL10" i="1"/>
  <c r="AJ3" i="1"/>
  <c r="AL8" i="1"/>
  <c r="AJ14" i="1"/>
  <c r="AL12" i="1"/>
  <c r="AJ7" i="1"/>
  <c r="AJ2" i="1"/>
  <c r="AL15" i="1"/>
  <c r="AL4" i="1"/>
  <c r="AJ8" i="1"/>
  <c r="AL13" i="1"/>
  <c r="AL9" i="1"/>
  <c r="AJ5" i="1"/>
  <c r="AM9" i="1"/>
  <c r="AM6" i="1"/>
  <c r="AM14" i="1"/>
  <c r="AM12" i="1"/>
  <c r="AM10" i="1"/>
  <c r="AM11" i="1"/>
  <c r="AK14" i="1"/>
  <c r="AK11" i="1"/>
  <c r="AC17" i="1"/>
  <c r="AM2" i="1"/>
  <c r="AK8" i="1"/>
  <c r="AM5" i="1"/>
  <c r="AK12" i="1"/>
  <c r="AM4" i="1"/>
  <c r="AM15" i="1"/>
  <c r="AK7" i="1"/>
  <c r="W17" i="1"/>
  <c r="W16" i="1" s="1"/>
  <c r="AM3" i="1"/>
  <c r="AM8" i="1"/>
  <c r="AK6" i="1"/>
  <c r="AM13" i="1"/>
  <c r="AK5" i="1"/>
  <c r="AK2" i="1"/>
  <c r="AK3" i="1"/>
  <c r="AK10" i="1"/>
  <c r="AK15" i="1"/>
  <c r="AK4" i="1"/>
  <c r="AA17" i="1"/>
  <c r="AK9" i="1"/>
  <c r="AM7" i="1"/>
  <c r="AK13" i="1"/>
  <c r="AB17" i="1"/>
  <c r="AB16" i="1" s="1"/>
  <c r="P17" i="1"/>
  <c r="AD17" i="1"/>
  <c r="AD16" i="1" s="1"/>
  <c r="Z17" i="1"/>
  <c r="Z16" i="1" s="1"/>
  <c r="P16" i="1"/>
  <c r="AA16" i="1"/>
  <c r="AC16" i="1"/>
  <c r="AG16" i="1" l="1"/>
  <c r="AG17" i="1"/>
  <c r="AN17" i="1"/>
  <c r="AN16" i="1" s="1"/>
  <c r="AH17" i="1"/>
  <c r="AH16" i="1" s="1"/>
  <c r="AI17" i="1"/>
  <c r="AI16" i="1" s="1"/>
  <c r="AJ17" i="1"/>
  <c r="AJ16" i="1" s="1"/>
  <c r="AL17" i="1"/>
  <c r="AL16" i="1" s="1"/>
  <c r="AK17" i="1"/>
  <c r="AK16" i="1" s="1"/>
  <c r="AM17" i="1"/>
  <c r="AM16" i="1" s="1"/>
  <c r="AO14" i="1"/>
  <c r="AO11" i="1"/>
  <c r="AO8" i="1"/>
  <c r="AO2" i="1"/>
  <c r="AO3" i="1"/>
  <c r="AS6" i="1"/>
  <c r="AO10" i="1"/>
  <c r="AO15" i="1"/>
  <c r="AS15" i="1"/>
  <c r="AO4" i="1"/>
  <c r="AS14" i="1"/>
  <c r="AO13" i="1"/>
  <c r="AS7" i="1"/>
  <c r="AS11" i="1"/>
  <c r="AO6" i="1"/>
  <c r="AO9" i="1"/>
  <c r="AO7" i="1"/>
  <c r="AO12" i="1"/>
  <c r="AO5" i="1"/>
  <c r="AS2" i="1"/>
  <c r="AS10" i="1"/>
  <c r="AS12" i="1"/>
  <c r="AS5" i="1"/>
  <c r="AS8" i="1"/>
  <c r="AS4" i="1"/>
  <c r="AS3" i="1"/>
  <c r="AS9" i="1"/>
  <c r="AS13" i="1"/>
  <c r="AR13" i="1"/>
  <c r="AQ10" i="1"/>
  <c r="AR4" i="1"/>
  <c r="AQ12" i="1"/>
  <c r="AR10" i="1"/>
  <c r="AQ11" i="1"/>
  <c r="AR5" i="1"/>
  <c r="AQ9" i="1"/>
  <c r="AQ14" i="1"/>
  <c r="AR8" i="1"/>
  <c r="AR7" i="1"/>
  <c r="AQ3" i="1"/>
  <c r="AQ8" i="1"/>
  <c r="AQ5" i="1"/>
  <c r="AR14" i="1"/>
  <c r="AR15" i="1"/>
  <c r="AQ6" i="1"/>
  <c r="AQ7" i="1"/>
  <c r="AR6" i="1"/>
  <c r="AR3" i="1"/>
  <c r="AQ13" i="1"/>
  <c r="AR2" i="1"/>
  <c r="AR12" i="1"/>
  <c r="AQ4" i="1"/>
  <c r="AR9" i="1"/>
  <c r="AQ15" i="1"/>
  <c r="AR11" i="1"/>
  <c r="AQ2" i="1"/>
  <c r="AP5" i="1"/>
  <c r="AP4" i="1"/>
  <c r="AP6" i="1"/>
  <c r="AP8" i="1"/>
  <c r="AP11" i="1"/>
  <c r="AP3" i="1"/>
  <c r="AP7" i="1"/>
  <c r="AP15" i="1"/>
  <c r="AP2" i="1"/>
  <c r="AP13" i="1"/>
  <c r="AP10" i="1"/>
  <c r="AP12" i="1"/>
  <c r="AP14" i="1"/>
  <c r="AP9" i="1"/>
  <c r="AO17" i="1" l="1"/>
  <c r="AO16" i="1" s="1"/>
  <c r="AS17" i="1"/>
  <c r="AS16" i="1" s="1"/>
  <c r="AR17" i="1"/>
  <c r="AQ17" i="1"/>
  <c r="AP17" i="1"/>
  <c r="AR16" i="1"/>
  <c r="AQ16" i="1"/>
  <c r="AP16" i="1"/>
</calcChain>
</file>

<file path=xl/sharedStrings.xml><?xml version="1.0" encoding="utf-8"?>
<sst xmlns="http://schemas.openxmlformats.org/spreadsheetml/2006/main" count="120" uniqueCount="99">
  <si>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</si>
  <si>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</si>
  <si>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</si>
  <si>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</si>
  <si>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</si>
  <si>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</si>
  <si>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</si>
  <si>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</si>
  <si>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</si>
  <si>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</si>
  <si>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</si>
  <si>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</si>
  <si>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</si>
  <si>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</si>
  <si>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</si>
  <si>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</si>
  <si>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</si>
  <si>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</si>
  <si>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</si>
  <si>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</si>
  <si>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</si>
  <si>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</si>
  <si>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</si>
  <si>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</si>
  <si>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</si>
  <si>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</si>
  <si>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</si>
  <si>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</si>
  <si>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</si>
  <si>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</si>
  <si>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</si>
  <si>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</si>
  <si>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Rating A: [(ΔKPR-ΔDPR+ΔADR)/100]+1</t>
  </si>
  <si>
    <t>AVG</t>
  </si>
  <si>
    <t>MED</t>
  </si>
  <si>
    <t>RatingA</t>
  </si>
  <si>
    <t>Rating E: [(ΔKPR-ΔDPR+ΔADR)/100]*10</t>
  </si>
  <si>
    <t>Rating F: [ΔKPR-ΔDPR+(ΔADR/114)]+1</t>
  </si>
  <si>
    <t>RatingE</t>
  </si>
  <si>
    <t>RatingF</t>
  </si>
  <si>
    <t>RatingAF</t>
  </si>
  <si>
    <t>Rating AF: ={[ΔKPR-ΔDPR+(ΔADR/100)]/2}+1</t>
  </si>
  <si>
    <t>RatingEF</t>
  </si>
  <si>
    <t>Rating AF: ={[ΔKPR-ΔDPR+(ΔADR/100)]/2}*10</t>
  </si>
  <si>
    <t>6th</t>
  </si>
  <si>
    <t>7th</t>
  </si>
  <si>
    <t>RatingG</t>
  </si>
  <si>
    <t>Notes</t>
  </si>
  <si>
    <t>RatingG=[(kpr/2)+(1-dpr)+(adr/200)]</t>
  </si>
  <si>
    <t>Rating G is solid, probably need to factor in mulit kills/entrying/clutch/util. Good objective measure</t>
  </si>
  <si>
    <t>Rating AF/EF is good as well, just doesn't work from match to match…only really good from a large sample size to compare between players.</t>
  </si>
  <si>
    <t>5th</t>
  </si>
  <si>
    <t>RatingG1.1</t>
  </si>
  <si>
    <t>RatingG1.1=[(kpr/2)+(1-dpr)+(adr/200)+(efr/9)]</t>
  </si>
  <si>
    <t>RatingG1.2</t>
  </si>
  <si>
    <t>1.1 includes EFS, 1.2 includes a downsizing to average around 1.0. Nice balance between AF &amp; G</t>
  </si>
  <si>
    <t>RatingG1.2={[(kpr/2)+(1-dpr)+(adr/200)+(efr/9)]/1.06}</t>
  </si>
  <si>
    <t>Stan Kato2019</t>
  </si>
  <si>
    <t>n0thing Kato2019</t>
  </si>
  <si>
    <t>HLTV2.0</t>
  </si>
  <si>
    <t>Think G1.2 is actually a good rating, mix between AF+G &amp; compareable to HLTV2.0</t>
  </si>
  <si>
    <t>RatingG1.3</t>
  </si>
  <si>
    <t>Comparing with HLTV2.0, average &amp; bad players from 1.2 is same, good/best players 1.1 is same. Think this is due to 1.2 being averaged to 1.00, also KAST not included.KAST is a little redundant so better = better worse = worse.</t>
  </si>
  <si>
    <t>1.3 no longer averages to 1.00, also has framework for saving+trading. Punished a little for saving, ameliorated for being traded a little</t>
  </si>
  <si>
    <t>S</t>
  </si>
  <si>
    <t>TD</t>
  </si>
  <si>
    <t>TDPR</t>
  </si>
  <si>
    <t>SPR</t>
  </si>
  <si>
    <t>Device Majors2019</t>
  </si>
  <si>
    <t>Simple Majors2019</t>
  </si>
  <si>
    <t>Kio Majors2019</t>
  </si>
  <si>
    <t>RatingG1.3={(kpr/2)+[1-(dpr-(.25tdpr+.5spr)]+(adr/200)+(efr/18)}</t>
  </si>
  <si>
    <t>MKPR</t>
  </si>
  <si>
    <t>MK</t>
  </si>
  <si>
    <t>OK</t>
  </si>
  <si>
    <t>OA</t>
  </si>
  <si>
    <t>OKPR</t>
  </si>
  <si>
    <t>OAR%</t>
  </si>
  <si>
    <t>OKS%</t>
  </si>
  <si>
    <t>RatingG1.4={0.5*[(kpr-okpr)+(1.5*okpr)+mkpr]+[1-(dpr-(.25tdpr+.5spr)]+(adr/200)+(efr/18)}</t>
  </si>
  <si>
    <t>Rating1.4</t>
  </si>
  <si>
    <t>Rating1.5</t>
  </si>
  <si>
    <t>Worst</t>
  </si>
  <si>
    <t>Best</t>
  </si>
  <si>
    <t>Rating1.5ify</t>
  </si>
  <si>
    <t>1.4 -  entires</t>
  </si>
  <si>
    <t>1.5 - openers, multis, general readjustments to weight in certain stats</t>
  </si>
  <si>
    <t>Rating1.5=[0.5*(kpr-okpr+1.25*okpr)+(mkpr/3)-(dpr-.2tdpr+.5spr)+(adr/250)+(efr/18)]+1</t>
  </si>
  <si>
    <t>Rating1.5ify=[0.5*(kpr-okpr+1.25*okpr)+(mkpr/3)-(dpr-.2tdpr+.5spr)+(adr/250)+(efr/18)]*10</t>
  </si>
  <si>
    <t>1v1</t>
  </si>
  <si>
    <t>1v2</t>
  </si>
  <si>
    <t>1v1PR</t>
  </si>
  <si>
    <t>1v2PR</t>
  </si>
  <si>
    <t>PadRating</t>
  </si>
  <si>
    <t>EVP</t>
  </si>
  <si>
    <t>3rd-4th</t>
  </si>
  <si>
    <t>1st-2nd</t>
  </si>
  <si>
    <t>PadRating - Added clutches + other readjustments. Think this is the rating. Seems similar to HLTV2.0, also feels pretty good when ordering players in how good they are + the difference between them.</t>
  </si>
  <si>
    <t>PadRating=[0.5*(kpr-okpr+1.2*okpr)+(mkpr/3)+((.25*1v1PR+1v2PR)/4)-(dpr-.15tdpr+.5spr)+(adr/250)+(efr/50)]+1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</si>
</sst>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8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D05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 applyFont="1" applyAlignment="1"/>
    <xf numFmtId="0" fontId="0" fillId="0" borderId="0" xfId="0" applyFont="1" applyBorder="1" applyAlignment="1"/>
    <xf numFmtId="2" fontId="0" fillId="0" borderId="0" xfId="0" applyNumberFormat="1" applyFont="1" applyAlignment="1"/>
    <xf numFmtId="0" fontId="10" fillId="0" borderId="0" xfId="0" applyFont="1" applyBorder="1" applyAlignment="1"/>
    <xf numFmtId="0" fontId="10" fillId="0" borderId="0" xfId="0" applyFont="1" applyAlignment="1"/>
    <xf numFmtId="2" fontId="0" fillId="16" borderId="0" xfId="0" applyNumberFormat="1" applyFont="1" applyFill="1" applyAlignment="1"/>
    <xf numFmtId="0" fontId="10" fillId="0" borderId="1" xfId="0" applyFont="1" applyFill="1" applyBorder="1" applyAlignment="1"/>
    <xf numFmtId="0" fontId="9" fillId="0" borderId="0" xfId="0" applyFont="1" applyBorder="1" applyAlignment="1"/>
    <xf numFmtId="0" fontId="9" fillId="16" borderId="0" xfId="0" applyFont="1" applyFill="1" applyAlignment="1"/>
    <xf numFmtId="0" fontId="9" fillId="17" borderId="0" xfId="0" applyFont="1" applyFill="1" applyAlignment="1"/>
    <xf numFmtId="2" fontId="0" fillId="17" borderId="0" xfId="0" applyNumberFormat="1" applyFont="1" applyFill="1" applyAlignment="1"/>
    <xf numFmtId="0" fontId="9" fillId="0" borderId="0" xfId="0" applyFont="1" applyFill="1" applyAlignment="1"/>
    <xf numFmtId="2" fontId="0" fillId="0" borderId="0" xfId="0" applyNumberFormat="1" applyFont="1" applyFill="1" applyAlignment="1"/>
    <xf numFmtId="0" fontId="8" fillId="0" borderId="1" xfId="0" applyFont="1" applyFill="1" applyBorder="1" applyAlignment="1"/>
    <xf numFmtId="0" fontId="8" fillId="18" borderId="0" xfId="0" applyFont="1" applyFill="1" applyAlignment="1"/>
    <xf numFmtId="2" fontId="0" fillId="18" borderId="0" xfId="0" applyNumberFormat="1" applyFont="1" applyFill="1" applyAlignment="1"/>
    <xf numFmtId="0" fontId="7" fillId="0" borderId="1" xfId="0" applyFont="1" applyFill="1" applyBorder="1" applyAlignment="1"/>
    <xf numFmtId="0" fontId="7" fillId="19" borderId="0" xfId="0" applyFont="1" applyFill="1" applyAlignment="1"/>
    <xf numFmtId="2" fontId="0" fillId="19" borderId="0" xfId="0" applyNumberFormat="1" applyFont="1" applyFill="1" applyAlignment="1"/>
    <xf numFmtId="0" fontId="7" fillId="20" borderId="0" xfId="0" applyFont="1" applyFill="1" applyAlignment="1"/>
    <xf numFmtId="2" fontId="0" fillId="20" borderId="0" xfId="0" applyNumberFormat="1" applyFont="1" applyFill="1" applyAlignment="1"/>
    <xf numFmtId="0" fontId="7" fillId="0" borderId="0" xfId="0" applyFont="1" applyAlignment="1"/>
    <xf numFmtId="0" fontId="7" fillId="21" borderId="0" xfId="0" applyFont="1" applyFill="1" applyAlignment="1"/>
    <xf numFmtId="2" fontId="0" fillId="21" borderId="0" xfId="0" applyNumberFormat="1" applyFont="1" applyFill="1" applyAlignment="1"/>
    <xf numFmtId="0" fontId="6" fillId="0" borderId="1" xfId="0" applyFont="1" applyFill="1" applyBorder="1" applyAlignment="1"/>
    <xf numFmtId="0" fontId="6" fillId="0" borderId="0" xfId="0" applyFont="1" applyAlignment="1"/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3" fillId="12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13" fillId="11" borderId="1" xfId="0" applyFont="1" applyFill="1" applyBorder="1" applyAlignment="1">
      <alignment horizontal="center"/>
    </xf>
    <xf numFmtId="16" fontId="13" fillId="3" borderId="1" xfId="0" applyNumberFormat="1" applyFont="1" applyFill="1" applyBorder="1" applyAlignment="1">
      <alignment horizontal="center"/>
    </xf>
    <xf numFmtId="16" fontId="14" fillId="3" borderId="1" xfId="0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15" borderId="1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0" fillId="6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2" fontId="13" fillId="12" borderId="1" xfId="0" applyNumberFormat="1" applyFont="1" applyFill="1" applyBorder="1" applyAlignment="1">
      <alignment horizontal="center"/>
    </xf>
    <xf numFmtId="2" fontId="13" fillId="13" borderId="1" xfId="0" applyNumberFormat="1" applyFont="1" applyFill="1" applyBorder="1" applyAlignment="1">
      <alignment horizontal="center"/>
    </xf>
    <xf numFmtId="2" fontId="13" fillId="10" borderId="1" xfId="0" applyNumberFormat="1" applyFont="1" applyFill="1" applyBorder="1" applyAlignment="1">
      <alignment horizontal="center"/>
    </xf>
    <xf numFmtId="2" fontId="13" fillId="11" borderId="1" xfId="0" applyNumberFormat="1" applyFont="1" applyFill="1" applyBorder="1" applyAlignment="1">
      <alignment horizontal="center"/>
    </xf>
    <xf numFmtId="2" fontId="13" fillId="15" borderId="1" xfId="0" applyNumberFormat="1" applyFont="1" applyFill="1" applyBorder="1" applyAlignment="1">
      <alignment horizontal="center"/>
    </xf>
    <xf numFmtId="2" fontId="13" fillId="14" borderId="1" xfId="0" applyNumberFormat="1" applyFont="1" applyFill="1" applyBorder="1" applyAlignment="1">
      <alignment horizontal="center"/>
    </xf>
    <xf numFmtId="2" fontId="13" fillId="5" borderId="1" xfId="0" applyNumberFormat="1" applyFon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2" fontId="0" fillId="22" borderId="0" xfId="0" applyNumberFormat="1" applyFont="1" applyFill="1" applyAlignment="1"/>
    <xf numFmtId="0" fontId="4" fillId="0" borderId="1" xfId="0" applyFont="1" applyFill="1" applyBorder="1" applyAlignment="1"/>
    <xf numFmtId="0" fontId="4" fillId="22" borderId="0" xfId="0" applyFont="1" applyFill="1" applyAlignment="1"/>
    <xf numFmtId="0" fontId="4" fillId="23" borderId="0" xfId="0" applyFont="1" applyFill="1" applyAlignment="1"/>
    <xf numFmtId="2" fontId="0" fillId="23" borderId="0" xfId="0" applyNumberFormat="1" applyFont="1" applyFill="1" applyAlignment="1"/>
    <xf numFmtId="0" fontId="4" fillId="24" borderId="0" xfId="0" applyFont="1" applyFill="1" applyAlignment="1"/>
    <xf numFmtId="2" fontId="0" fillId="24" borderId="0" xfId="0" applyNumberFormat="1" applyFont="1" applyFill="1" applyAlignment="1"/>
    <xf numFmtId="0" fontId="4" fillId="0" borderId="0" xfId="0" applyFont="1" applyAlignment="1"/>
    <xf numFmtId="0" fontId="3" fillId="0" borderId="1" xfId="0" applyFont="1" applyFill="1" applyBorder="1" applyAlignment="1"/>
    <xf numFmtId="0" fontId="11" fillId="25" borderId="0" xfId="0" applyFont="1" applyFill="1" applyAlignment="1">
      <alignment horizontal="center"/>
    </xf>
    <xf numFmtId="2" fontId="0" fillId="25" borderId="1" xfId="0" applyNumberFormat="1" applyFont="1" applyFill="1" applyBorder="1" applyAlignment="1"/>
    <xf numFmtId="2" fontId="14" fillId="26" borderId="1" xfId="0" applyNumberFormat="1" applyFont="1" applyFill="1" applyBorder="1" applyAlignment="1">
      <alignment horizontal="right"/>
    </xf>
    <xf numFmtId="2" fontId="0" fillId="0" borderId="0" xfId="0" applyNumberFormat="1" applyFont="1" applyBorder="1" applyAlignment="1"/>
    <xf numFmtId="2" fontId="0" fillId="0" borderId="1" xfId="0" applyNumberFormat="1" applyFont="1" applyBorder="1" applyAlignment="1"/>
    <xf numFmtId="0" fontId="2" fillId="0" borderId="0" xfId="0" applyFont="1" applyAlignment="1"/>
    <xf numFmtId="0" fontId="14" fillId="3" borderId="1" xfId="0" applyFont="1" applyFill="1" applyBorder="1" applyAlignment="1">
      <alignment horizontal="center"/>
    </xf>
    <xf numFmtId="2" fontId="7" fillId="25" borderId="0" xfId="0" applyNumberFormat="1" applyFont="1" applyFill="1" applyBorder="1" applyAlignment="1"/>
    <xf numFmtId="2" fontId="0" fillId="25" borderId="0" xfId="0" applyNumberFormat="1" applyFont="1" applyFill="1" applyBorder="1" applyAlignment="1"/>
    <xf numFmtId="0" fontId="1" fillId="0" borderId="1" xfId="0" applyFont="1" applyFill="1" applyBorder="1" applyAlignment="1"/>
    <xf numFmtId="0" fontId="0" fillId="0" borderId="1" xfId="0" applyFont="1" applyFill="1" applyBorder="1" applyAlignment="1"/>
  </cellXfs>
  <cellStyles count="1">
    <cellStyle name="Normal" xfId="0" builtinId="0"/>
  </cellStyles>
  <dxfs count="16"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C000"/>
          <bgColor rgb="FFBF4F14"/>
        </patternFill>
      </fill>
    </dxf>
    <dxf>
      <fill>
        <patternFill patternType="solid">
          <fgColor rgb="FFFFC000"/>
          <bgColor rgb="FFBF4F14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70C0"/>
          <bgColor rgb="FFBF4F14"/>
        </patternFill>
      </fill>
    </dxf>
    <dxf>
      <fill>
        <patternFill patternType="solid">
          <fgColor rgb="FF0070C0"/>
          <bgColor rgb="FFBF4F14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A02B93"/>
          <bgColor rgb="FF0F9ED5"/>
        </patternFill>
      </fill>
    </dxf>
    <dxf>
      <fill>
        <patternFill patternType="solid">
          <fgColor rgb="FFA02B93"/>
          <bgColor rgb="FF0F9ED5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70C0"/>
          <bgColor rgb="FFBF4F14"/>
        </patternFill>
      </fill>
    </dxf>
    <dxf>
      <fill>
        <patternFill patternType="solid">
          <fgColor rgb="FF0070C0"/>
          <bgColor rgb="FFBF4F14"/>
        </patternFill>
      </fill>
    </dxf>
  </dxfs>
  <tableStyles count="0" defaultTableStyle="TableStyleMedium2" defaultPivotStyle="PivotStyleLight16"/>
  <colors>
    <mruColors>
      <color rgb="FF8BD355"/>
      <color rgb="FF64D056"/>
      <color rgb="FF92D050"/>
      <color rgb="FF6EC72B"/>
      <color rgb="FF90DB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EAA08566-58A1-49C4-9FAE-484FED03B69C}"/>
            </a:ext>
          </a:extLst>
        </xdr:cNvPr>
        <xdr:cNvSpPr txBox="1"/>
      </xdr:nvSpPr>
      <xdr:spPr>
        <a:xfrm>
          <a:off x="118205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E88F5EC3-F573-465B-BE60-05C33BC21944}"/>
            </a:ext>
          </a:extLst>
        </xdr:cNvPr>
        <xdr:cNvSpPr txBox="1"/>
      </xdr:nvSpPr>
      <xdr:spPr>
        <a:xfrm>
          <a:off x="13296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35AED18-D6D4-43DD-8E1E-D0B6B847A147}"/>
            </a:ext>
          </a:extLst>
        </xdr:cNvPr>
        <xdr:cNvSpPr txBox="1"/>
      </xdr:nvSpPr>
      <xdr:spPr>
        <a:xfrm>
          <a:off x="140112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22AF439A-2E7D-4AFD-A804-961A4135D038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2DCF781B-0342-4603-A8F7-3EF280FA9F68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F54AE1E9-6A63-4D28-AE27-C819A9317700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85C5881B-09D0-4EA5-86DA-5DB54E6D15E2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5A047509-F79F-42E4-9B29-9AAA317DF422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87B574E1-C57A-4F7B-9CA8-C121D1CDACAE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697BFEB-3BB4-44B7-ADEA-6C229F5D4E14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31</xdr:col>
      <xdr:colOff>514350</xdr:colOff>
      <xdr:row>15</xdr:row>
      <xdr:rowOff>0</xdr:rowOff>
    </xdr:from>
    <xdr:ext cx="38100" cy="17145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F3E1B38F-0D8E-459D-AA2F-05E2D71EF6F3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8AC4A538-FAEC-4279-8F3D-A247AC4FF24B}"/>
            </a:ext>
          </a:extLst>
        </xdr:cNvPr>
        <xdr:cNvSpPr txBox="1"/>
      </xdr:nvSpPr>
      <xdr:spPr>
        <a:xfrm>
          <a:off x="120015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BDDABD14-9707-43CB-99EB-5918181E4D58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759097B9-24E6-45E7-A378-27B9E5425424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D194B1EA-88C3-49A6-A37D-C1D4CA172465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4" name="Shape 3">
          <a:extLst>
            <a:ext uri="{FF2B5EF4-FFF2-40B4-BE49-F238E27FC236}">
              <a16:creationId xmlns:a16="http://schemas.microsoft.com/office/drawing/2014/main" id="{48E09B9E-532B-459A-AE9A-64AD8DBA51B2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19" name="Shape 3">
          <a:extLst>
            <a:ext uri="{FF2B5EF4-FFF2-40B4-BE49-F238E27FC236}">
              <a16:creationId xmlns:a16="http://schemas.microsoft.com/office/drawing/2014/main" id="{CDBDA33C-07FA-4F39-8384-B6147B73EAE9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2A7E7D40-E50E-4CB9-AE97-470FD0E86702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3" name="Shape 3">
          <a:extLst>
            <a:ext uri="{FF2B5EF4-FFF2-40B4-BE49-F238E27FC236}">
              <a16:creationId xmlns:a16="http://schemas.microsoft.com/office/drawing/2014/main" id="{236411CA-F726-4AAA-9873-ABE23E2708A3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4" name="Shape 3">
          <a:extLst>
            <a:ext uri="{FF2B5EF4-FFF2-40B4-BE49-F238E27FC236}">
              <a16:creationId xmlns:a16="http://schemas.microsoft.com/office/drawing/2014/main" id="{3CCB3FC7-1A9A-46AA-8713-D6A7C465FCB4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4"/>
  <sheetViews>
    <sheetView tabSelected="1" zoomScaleNormal="100" workbookViewId="0">
      <selection activeCell="AC21" sqref="AC21"/>
    </sheetView>
  </sheetViews>
  <sheetFormatPr defaultColWidth="12.5703125" defaultRowHeight="15" customHeight="1" x14ac:dyDescent="0.25"/>
  <cols>
    <col min="1" max="1" width="7.140625" customWidth="1"/>
    <col min="2" max="2" width="8.5703125" customWidth="1"/>
    <col min="3" max="3" width="5.7109375" customWidth="1"/>
    <col min="4" max="4" width="5.42578125" customWidth="1"/>
    <col min="5" max="5" width="5.28515625" customWidth="1"/>
    <col min="6" max="6" width="5.5703125" customWidth="1"/>
    <col min="7" max="8" width="3.85546875" bestFit="1" customWidth="1"/>
    <col min="9" max="9" width="8.5703125" customWidth="1"/>
    <col min="10" max="10" width="5.85546875" customWidth="1"/>
    <col min="11" max="11" width="6.140625" customWidth="1"/>
    <col min="12" max="12" width="8.5703125" customWidth="1"/>
    <col min="13" max="13" width="7.28515625" customWidth="1"/>
    <col min="14" max="14" width="9.85546875" customWidth="1"/>
    <col min="15" max="15" width="8.85546875" customWidth="1"/>
    <col min="16" max="20" width="8.5703125" customWidth="1"/>
    <col min="21" max="22" width="6.140625" bestFit="1" customWidth="1"/>
    <col min="23" max="23" width="8.5703125" customWidth="1"/>
    <col min="24" max="24" width="5.5703125" bestFit="1" customWidth="1"/>
    <col min="25" max="25" width="6" bestFit="1" customWidth="1"/>
    <col min="26" max="26" width="5" bestFit="1" customWidth="1"/>
    <col min="27" max="30" width="8.5703125" customWidth="1"/>
    <col min="31" max="31" width="10.28515625" customWidth="1"/>
    <col min="32" max="32" width="8.5703125" customWidth="1"/>
    <col min="33" max="33" width="10" bestFit="1" customWidth="1"/>
    <col min="34" max="35" width="9.140625" bestFit="1" customWidth="1"/>
    <col min="36" max="38" width="10.42578125" bestFit="1" customWidth="1"/>
    <col min="39" max="39" width="7.85546875" bestFit="1" customWidth="1"/>
    <col min="40" max="40" width="11.140625" bestFit="1" customWidth="1"/>
    <col min="41" max="41" width="8.5703125" bestFit="1" customWidth="1"/>
    <col min="42" max="44" width="7.5703125" bestFit="1" customWidth="1"/>
    <col min="45" max="45" width="8.7109375" bestFit="1" customWidth="1"/>
  </cols>
  <sheetData>
    <row r="1" spans="1:45" x14ac:dyDescent="0.25">
      <c r="A1" s="26" t="s">
        <v>0</v>
      </c>
      <c r="B1" s="26" t="s">
        <v>1</v>
      </c>
      <c r="C1" s="26" t="s">
        <v>2</v>
      </c>
      <c r="D1" s="60" t="s">
        <v>74</v>
      </c>
      <c r="E1" s="60" t="s">
        <v>75</v>
      </c>
      <c r="F1" s="50" t="s">
        <v>73</v>
      </c>
      <c r="G1" s="50" t="s">
        <v>89</v>
      </c>
      <c r="H1" s="50" t="s">
        <v>90</v>
      </c>
      <c r="I1" s="26" t="s">
        <v>3</v>
      </c>
      <c r="J1" s="50" t="s">
        <v>65</v>
      </c>
      <c r="K1" s="50" t="s">
        <v>64</v>
      </c>
      <c r="L1" s="26" t="s">
        <v>4</v>
      </c>
      <c r="M1" s="27" t="s">
        <v>5</v>
      </c>
      <c r="N1" s="26" t="s">
        <v>6</v>
      </c>
      <c r="O1" s="26" t="s">
        <v>7</v>
      </c>
      <c r="P1" s="28" t="s">
        <v>8</v>
      </c>
      <c r="Q1" s="59" t="s">
        <v>76</v>
      </c>
      <c r="R1" s="59" t="s">
        <v>77</v>
      </c>
      <c r="S1" s="61" t="s">
        <v>78</v>
      </c>
      <c r="T1" s="51" t="s">
        <v>72</v>
      </c>
      <c r="U1" s="51" t="s">
        <v>91</v>
      </c>
      <c r="V1" s="51" t="s">
        <v>92</v>
      </c>
      <c r="W1" s="28" t="s">
        <v>9</v>
      </c>
      <c r="X1" s="51" t="s">
        <v>66</v>
      </c>
      <c r="Y1" s="51" t="s">
        <v>67</v>
      </c>
      <c r="Z1" s="28" t="s">
        <v>10</v>
      </c>
      <c r="AA1" s="28" t="s">
        <v>11</v>
      </c>
      <c r="AB1" s="28" t="s">
        <v>12</v>
      </c>
      <c r="AC1" s="28" t="s">
        <v>13</v>
      </c>
      <c r="AD1" s="28" t="s">
        <v>14</v>
      </c>
      <c r="AE1" s="26" t="s">
        <v>15</v>
      </c>
      <c r="AF1" s="26" t="s">
        <v>16</v>
      </c>
      <c r="AG1" s="71" t="s">
        <v>93</v>
      </c>
      <c r="AH1" s="65" t="s">
        <v>81</v>
      </c>
      <c r="AI1" s="64" t="s">
        <v>80</v>
      </c>
      <c r="AJ1" s="22" t="s">
        <v>61</v>
      </c>
      <c r="AK1" s="19" t="s">
        <v>54</v>
      </c>
      <c r="AL1" s="17" t="s">
        <v>52</v>
      </c>
      <c r="AM1" s="14" t="s">
        <v>46</v>
      </c>
      <c r="AN1" s="67" t="s">
        <v>84</v>
      </c>
      <c r="AO1" s="9" t="s">
        <v>42</v>
      </c>
      <c r="AP1" s="4" t="s">
        <v>35</v>
      </c>
      <c r="AQ1" s="11" t="s">
        <v>38</v>
      </c>
      <c r="AR1" s="11" t="s">
        <v>39</v>
      </c>
      <c r="AS1" s="8" t="s">
        <v>40</v>
      </c>
    </row>
    <row r="2" spans="1:45" x14ac:dyDescent="0.25">
      <c r="A2" s="29" t="s">
        <v>21</v>
      </c>
      <c r="B2" s="29">
        <v>105</v>
      </c>
      <c r="C2" s="29">
        <v>52</v>
      </c>
      <c r="D2" s="29">
        <v>38</v>
      </c>
      <c r="E2" s="29">
        <v>58</v>
      </c>
      <c r="F2" s="29">
        <v>25</v>
      </c>
      <c r="G2" s="29">
        <v>17</v>
      </c>
      <c r="H2" s="29">
        <v>10</v>
      </c>
      <c r="I2" s="29">
        <v>66</v>
      </c>
      <c r="J2" s="29">
        <v>0</v>
      </c>
      <c r="K2" s="29">
        <v>0</v>
      </c>
      <c r="L2" s="29">
        <v>398</v>
      </c>
      <c r="M2" s="29">
        <v>30</v>
      </c>
      <c r="N2" s="29">
        <v>10873</v>
      </c>
      <c r="O2" s="29">
        <v>135</v>
      </c>
      <c r="P2" s="30">
        <f>ROUND(IMDIV(B2,O2),2)</f>
        <v>0.78</v>
      </c>
      <c r="Q2" s="52">
        <f>(D2/O2)</f>
        <v>0.2814814814814815</v>
      </c>
      <c r="R2" s="52">
        <f>(E2/O2)*100</f>
        <v>42.962962962962962</v>
      </c>
      <c r="S2" s="30">
        <f>ROUND((D2/E2)*100,2)</f>
        <v>65.52</v>
      </c>
      <c r="T2" s="52">
        <f>F2/O2</f>
        <v>0.18518518518518517</v>
      </c>
      <c r="U2" s="52">
        <f>G2/O2</f>
        <v>0.12592592592592591</v>
      </c>
      <c r="V2" s="52">
        <f>H2/O2</f>
        <v>7.407407407407407E-2</v>
      </c>
      <c r="W2" s="30">
        <f>ROUND(IMDIV(I2,O2),2)</f>
        <v>0.49</v>
      </c>
      <c r="X2" s="30">
        <f>ROUND(IMDIV(J2,O2),2)</f>
        <v>0</v>
      </c>
      <c r="Y2" s="30">
        <f>ROUND(IMDIV(K2,O2),2)</f>
        <v>0</v>
      </c>
      <c r="Z2" s="30">
        <f>ROUND(IMDIV(L2,O2),2)</f>
        <v>2.95</v>
      </c>
      <c r="AA2" s="30">
        <f>ROUND(IMDIV(M2,O2),2)</f>
        <v>0.22</v>
      </c>
      <c r="AB2" s="30">
        <f>ROUND(IMDIV(B2,I2),2)</f>
        <v>1.59</v>
      </c>
      <c r="AC2" s="30">
        <f>ROUND(IMDIV(C2,B2),4)*100</f>
        <v>49.519999999999996</v>
      </c>
      <c r="AD2" s="30">
        <f>ROUND(IMDIV(N2,O2),2)</f>
        <v>80.540000000000006</v>
      </c>
      <c r="AE2" s="29" t="s">
        <v>96</v>
      </c>
      <c r="AF2" s="29" t="s">
        <v>28</v>
      </c>
      <c r="AG2" s="73">
        <f>(((P2-Q2+1.2*Q2)/2)+(T2/3)+0.25*((U2/4)+V2)-(W2-0.1*X2+0.5*Y2)+(AD2/250)+(AA2/50))+1</f>
        <v>1.3428254320987654</v>
      </c>
      <c r="AH2" s="66">
        <f>(((P2-Q2+1.25*Q2)/2)+(T2/3)-(W2-0.2*X2+0.5*Y2)+(AD2/250)+(AA2/20))+1</f>
        <v>1.3300735802469137</v>
      </c>
      <c r="AI2" s="62">
        <f>(((P2-Q2+1.25*Q2+T2)/2)+(1-(W2-0.25*X2+0.5*Y2))+(AD2/200)+(AA2/18))</f>
        <v>1.4426999999999999</v>
      </c>
      <c r="AJ2" s="23">
        <f>((P2/2)+(1-(W2-0.25*X2+0.5*Y2))+(AD2/200)+(AA2/18))</f>
        <v>1.3149222222222223</v>
      </c>
      <c r="AK2" s="20">
        <f>(((P2/2)+(1-W2)+(AD2/200)+(AA2/9)))/1.06</f>
        <v>1.2520230607966458</v>
      </c>
      <c r="AL2" s="18">
        <f>((P2/2)+(1-W2)+(AD2/200)+(AA2/9))</f>
        <v>1.3271444444444447</v>
      </c>
      <c r="AM2" s="15">
        <f>((P2/2)+(1-W2)+(AD2/200))</f>
        <v>1.3027000000000002</v>
      </c>
      <c r="AN2" s="68">
        <f>(((P2-Q2+1.25*Q2)/2)+(T2/3)-(W2-0.2*X2+0.5*Y2)+(AD2/250)+(AA2/18))*10</f>
        <v>3.3129580246913588</v>
      </c>
      <c r="AO2" s="10">
        <f>(((P2-P12)-(W2-W12)+((AD2-AD12)/100))/2)*10</f>
        <v>0.23500000000000049</v>
      </c>
      <c r="AP2" s="2">
        <f>(((P2-P12)-(W2-W12)+(AD2-AD12))/100)+1</f>
        <v>0.84899999999999998</v>
      </c>
      <c r="AQ2" s="12">
        <f>((P2-P12)-(W2-W12)+((AD2-AD12)/100))*10</f>
        <v>0.47000000000000097</v>
      </c>
      <c r="AR2" s="12">
        <f>((P2-P12)-(W2-W12)+((AD2-AD12)/116))+1</f>
        <v>1.0681034482758622</v>
      </c>
      <c r="AS2" s="5">
        <f>(((P2-P12)-(W2-W12)+((AD2-AD12)/100))/2)+1</f>
        <v>1.0235000000000001</v>
      </c>
    </row>
    <row r="3" spans="1:45" x14ac:dyDescent="0.25">
      <c r="A3" s="29" t="s">
        <v>22</v>
      </c>
      <c r="B3" s="29">
        <v>80</v>
      </c>
      <c r="C3" s="29">
        <v>34</v>
      </c>
      <c r="D3" s="29">
        <v>39</v>
      </c>
      <c r="E3" s="29">
        <v>77</v>
      </c>
      <c r="F3" s="29">
        <v>16</v>
      </c>
      <c r="G3" s="29">
        <v>6</v>
      </c>
      <c r="H3" s="29">
        <v>5</v>
      </c>
      <c r="I3" s="29">
        <v>82</v>
      </c>
      <c r="J3" s="29">
        <v>5</v>
      </c>
      <c r="K3" s="29">
        <v>0</v>
      </c>
      <c r="L3" s="29">
        <v>343</v>
      </c>
      <c r="M3" s="29">
        <v>27</v>
      </c>
      <c r="N3" s="29">
        <v>9656</v>
      </c>
      <c r="O3" s="29">
        <v>135</v>
      </c>
      <c r="P3" s="30">
        <f>ROUND(IMDIV(B3,O3),2)</f>
        <v>0.59</v>
      </c>
      <c r="Q3" s="52">
        <f>(D3/O3)</f>
        <v>0.28888888888888886</v>
      </c>
      <c r="R3" s="52">
        <f>(E3/O3)*100</f>
        <v>57.037037037037038</v>
      </c>
      <c r="S3" s="30">
        <f>ROUND((D3/E3)*100,2)</f>
        <v>50.65</v>
      </c>
      <c r="T3" s="52">
        <f>F3/O3</f>
        <v>0.11851851851851852</v>
      </c>
      <c r="U3" s="52">
        <f>G3/O3</f>
        <v>4.4444444444444446E-2</v>
      </c>
      <c r="V3" s="52">
        <f>H3/O3</f>
        <v>3.7037037037037035E-2</v>
      </c>
      <c r="W3" s="30">
        <f>ROUND(IMDIV(I3,O3),2)</f>
        <v>0.61</v>
      </c>
      <c r="X3" s="30">
        <f>ROUND(IMDIV(J3,O3),2)</f>
        <v>0.04</v>
      </c>
      <c r="Y3" s="30">
        <f>ROUND(IMDIV(K3,O3),2)</f>
        <v>0</v>
      </c>
      <c r="Z3" s="30">
        <f>ROUND(IMDIV(L3,O3),2)</f>
        <v>2.54</v>
      </c>
      <c r="AA3" s="30">
        <f>ROUND(IMDIV(M3,O3),2)</f>
        <v>0.2</v>
      </c>
      <c r="AB3" s="30">
        <f>ROUND(IMDIV(B3,I3),2)</f>
        <v>0.98</v>
      </c>
      <c r="AC3" s="30">
        <f>ROUND(IMDIV(C3,B3),4)*100</f>
        <v>42.5</v>
      </c>
      <c r="AD3" s="30">
        <f>ROUND(IMDIV(N3,O3),2)</f>
        <v>71.53</v>
      </c>
      <c r="AE3" s="29" t="s">
        <v>96</v>
      </c>
      <c r="AF3" s="29" t="s">
        <v>28</v>
      </c>
      <c r="AG3" s="73">
        <f t="shared" ref="AG3:AG15" si="0">(((P3-Q3+1.2*Q3)/2)+(T3/3)+0.25*((U3/4)+V3)-(W3-0.1*X3+0.5*Y3)+(AD3/250)+(AA3/50))+1</f>
        <v>1.0595520987654321</v>
      </c>
      <c r="AH3" s="66">
        <f>(((P3-Q3+1.25*Q3)/2)+(T3/3)-(W3-0.2*X3+0.5*Y3)+(AD3/250)+(AA3/20))+1</f>
        <v>1.0647372839506173</v>
      </c>
      <c r="AI3" s="62">
        <f>(((P3-Q3+1.25*Q3+T3)/2)+(1-(W3-0.25*X3+0.5*Y3))+(AD3/200)+(AA3/18))</f>
        <v>1.1591314814814815</v>
      </c>
      <c r="AJ3" s="23">
        <f>((P3/2)+(1-(W3-0.25*X3+0.5*Y3))+(AD3/200)+(AA3/18))</f>
        <v>1.0637611111111112</v>
      </c>
      <c r="AK3" s="20">
        <f>(((P3/2)+(1-W3)+(AD3/200)+(AA3/9)))/1.06</f>
        <v>1.0045964360587001</v>
      </c>
      <c r="AL3" s="18">
        <f>((P3/2)+(1-W3)+(AD3/200)+(AA3/9))</f>
        <v>1.0648722222222222</v>
      </c>
      <c r="AM3" s="15">
        <f>((P3/2)+(1-W3)+(AD3/200))</f>
        <v>1.0426500000000001</v>
      </c>
      <c r="AN3" s="68">
        <f>(((P3-Q3+1.25*Q3)/2)+(T3/3)-(W3-0.2*X3+0.5*Y3)+(AD3/250)+(AA3/18))*10</f>
        <v>0.65848395061728393</v>
      </c>
      <c r="AO3" s="10">
        <f>(((P3-P14)-(W3-W14)+((AD3-AD14)/100))/2)*10</f>
        <v>3.8280000000000003</v>
      </c>
      <c r="AP3" s="2">
        <f>(((P3-P14)-(W3-W14)+(AD3-AD14))/100)+1</f>
        <v>1.2805</v>
      </c>
      <c r="AQ3" s="12">
        <f>((P3-P14)-(W3-W14)+((AD3-AD14)/100))*10</f>
        <v>7.6560000000000006</v>
      </c>
      <c r="AR3" s="12">
        <f>((P3-P14)-(W3-W14)+((AD3-AD14)/116))+1</f>
        <v>1.7275862068965517</v>
      </c>
      <c r="AS3" s="5">
        <f>(((P3-P14)-(W3-W14)+((AD3-AD14)/100))/2)+1</f>
        <v>1.3828</v>
      </c>
    </row>
    <row r="4" spans="1:45" x14ac:dyDescent="0.25">
      <c r="A4" s="34" t="s">
        <v>30</v>
      </c>
      <c r="B4" s="34">
        <v>87</v>
      </c>
      <c r="C4" s="34">
        <v>38</v>
      </c>
      <c r="D4" s="34">
        <v>40</v>
      </c>
      <c r="E4" s="34">
        <v>70</v>
      </c>
      <c r="F4" s="34">
        <v>24</v>
      </c>
      <c r="G4" s="34">
        <v>6</v>
      </c>
      <c r="H4" s="34">
        <v>12</v>
      </c>
      <c r="I4" s="34">
        <v>65</v>
      </c>
      <c r="J4" s="34">
        <v>6</v>
      </c>
      <c r="K4" s="34">
        <v>0</v>
      </c>
      <c r="L4" s="34">
        <v>384</v>
      </c>
      <c r="M4" s="34">
        <v>22</v>
      </c>
      <c r="N4" s="34">
        <v>9576</v>
      </c>
      <c r="O4" s="34">
        <v>119</v>
      </c>
      <c r="P4" s="35">
        <f>ROUND(IMDIV(B4,O4),2)</f>
        <v>0.73</v>
      </c>
      <c r="Q4" s="54">
        <f>(D4/O4)</f>
        <v>0.33613445378151263</v>
      </c>
      <c r="R4" s="54">
        <f>(E4/O4)*100</f>
        <v>58.82352941176471</v>
      </c>
      <c r="S4" s="35">
        <f>ROUND((D4/E4)*100,2)</f>
        <v>57.14</v>
      </c>
      <c r="T4" s="54">
        <f>F4/O4</f>
        <v>0.20168067226890757</v>
      </c>
      <c r="U4" s="54">
        <f>G4/O4</f>
        <v>5.0420168067226892E-2</v>
      </c>
      <c r="V4" s="54">
        <f>H4/O4</f>
        <v>0.10084033613445378</v>
      </c>
      <c r="W4" s="35">
        <f>ROUND(IMDIV(I4,O4),2)</f>
        <v>0.55000000000000004</v>
      </c>
      <c r="X4" s="35">
        <f>ROUND(IMDIV(J4,O4),2)</f>
        <v>0.05</v>
      </c>
      <c r="Y4" s="35">
        <f>ROUND(IMDIV(K4,O4),2)</f>
        <v>0</v>
      </c>
      <c r="Z4" s="35">
        <f>ROUND(IMDIV(L4,O4),2)</f>
        <v>3.23</v>
      </c>
      <c r="AA4" s="35">
        <f>ROUND(IMDIV(M4,O4),2)</f>
        <v>0.18</v>
      </c>
      <c r="AB4" s="35">
        <f>ROUND(IMDIV(B4,I4),2)</f>
        <v>1.34</v>
      </c>
      <c r="AC4" s="35">
        <f>ROUND(IMDIV(C4,B4),4)*100</f>
        <v>43.68</v>
      </c>
      <c r="AD4" s="35">
        <f>ROUND(IMDIV(N4,O4),2)</f>
        <v>80.47</v>
      </c>
      <c r="AE4" s="36" t="s">
        <v>96</v>
      </c>
      <c r="AF4" s="34" t="s">
        <v>28</v>
      </c>
      <c r="AG4" s="73">
        <f t="shared" si="0"/>
        <v>1.2746816806722689</v>
      </c>
      <c r="AH4" s="66">
        <f>(((P4-Q4+1.25*Q4)/2)+(T4/3)-(W4-0.2*X4+0.5*Y4)+(AD4/250)+(AA4/20))+1</f>
        <v>1.2651236974789914</v>
      </c>
      <c r="AI4" s="62">
        <f>(((P4-Q4+1.25*Q4+T4)/2)+(1-(W4-0.25*X4+0.5*Y4))+(AD4/200)+(AA4/18))</f>
        <v>1.3827071428571427</v>
      </c>
      <c r="AJ4" s="23">
        <f>((P4/2)+(1-(W4-0.25*X4+0.5*Y4))+(AD4/200)+(AA4/18))</f>
        <v>1.2398499999999999</v>
      </c>
      <c r="AK4" s="20">
        <f>(((P4/2)+(1-W4)+(AD4/200)+(AA4/9)))/1.06</f>
        <v>1.1673113207547168</v>
      </c>
      <c r="AL4" s="18">
        <f>((P4/2)+(1-W4)+(AD4/200)+(AA4/9))</f>
        <v>1.2373499999999999</v>
      </c>
      <c r="AM4" s="15">
        <f>((P4/2)+(1-W4)+(AD4/200))</f>
        <v>1.2173499999999999</v>
      </c>
      <c r="AN4" s="68">
        <f>(((P4-Q4+1.25*Q4)/2)+(T4/3)-(W4-0.2*X4+0.5*Y4)+(AD4/250)+(AA4/18))*10</f>
        <v>2.6612369747899156</v>
      </c>
      <c r="AO4" s="10">
        <f>(((P4-P17)-(W4-W17)+((AD4-AD17)/100))/2)*10</f>
        <v>2.3784999999999994</v>
      </c>
      <c r="AP4" s="2">
        <f>(((P4-P17)-(W4-W17)+(AD4-AD17))/100)+1</f>
        <v>1.14405</v>
      </c>
      <c r="AQ4" s="12">
        <f>((P4-P17)-(W4-W17)+((AD4-AD17)/100))*10</f>
        <v>4.7569999999999988</v>
      </c>
      <c r="AR4" s="12">
        <f>((P4-P17)-(W4-W17)+((AD4-AD17)/116))+1</f>
        <v>1.4562931034482758</v>
      </c>
      <c r="AS4" s="5">
        <f>(((P4-P17)-(W4-W17)+((AD4-AD17)/100))/2)+1</f>
        <v>1.2378499999999999</v>
      </c>
    </row>
    <row r="5" spans="1:45" x14ac:dyDescent="0.25">
      <c r="A5" s="34" t="s">
        <v>31</v>
      </c>
      <c r="B5" s="34">
        <v>82</v>
      </c>
      <c r="C5" s="34">
        <v>51</v>
      </c>
      <c r="D5" s="34">
        <v>24</v>
      </c>
      <c r="E5" s="34">
        <v>49</v>
      </c>
      <c r="F5" s="34">
        <v>25</v>
      </c>
      <c r="G5" s="34">
        <v>8</v>
      </c>
      <c r="H5" s="34">
        <v>9</v>
      </c>
      <c r="I5" s="34">
        <v>67</v>
      </c>
      <c r="J5" s="34">
        <v>3</v>
      </c>
      <c r="K5" s="34">
        <v>0</v>
      </c>
      <c r="L5" s="34">
        <v>506</v>
      </c>
      <c r="M5" s="34">
        <v>21</v>
      </c>
      <c r="N5" s="34">
        <v>9496</v>
      </c>
      <c r="O5" s="34">
        <v>119</v>
      </c>
      <c r="P5" s="35">
        <f>ROUND(IMDIV(B5,O5),2)</f>
        <v>0.69</v>
      </c>
      <c r="Q5" s="54">
        <f>(D5/O5)</f>
        <v>0.20168067226890757</v>
      </c>
      <c r="R5" s="54">
        <f>(E5/O5)*100</f>
        <v>41.17647058823529</v>
      </c>
      <c r="S5" s="35">
        <f>ROUND((D5/E5)*100,2)</f>
        <v>48.98</v>
      </c>
      <c r="T5" s="54">
        <f>F5/O5</f>
        <v>0.21008403361344538</v>
      </c>
      <c r="U5" s="54">
        <f>G5/O5</f>
        <v>6.7226890756302518E-2</v>
      </c>
      <c r="V5" s="54">
        <f>H5/O5</f>
        <v>7.5630252100840331E-2</v>
      </c>
      <c r="W5" s="35">
        <f>ROUND(IMDIV(I5,O5),2)</f>
        <v>0.56000000000000005</v>
      </c>
      <c r="X5" s="35">
        <f>ROUND(IMDIV(J5,O5),2)</f>
        <v>0.03</v>
      </c>
      <c r="Y5" s="35">
        <f>ROUND(IMDIV(K5,O5),2)</f>
        <v>0</v>
      </c>
      <c r="Z5" s="35">
        <f>ROUND(IMDIV(L5,O5),2)</f>
        <v>4.25</v>
      </c>
      <c r="AA5" s="35">
        <f>ROUND(IMDIV(M5,O5),2)</f>
        <v>0.18</v>
      </c>
      <c r="AB5" s="35">
        <f>ROUND(IMDIV(B5,I5),2)</f>
        <v>1.22</v>
      </c>
      <c r="AC5" s="35">
        <f>ROUND(IMDIV(C5,B5),4)*100</f>
        <v>62.2</v>
      </c>
      <c r="AD5" s="35">
        <f>ROUND(IMDIV(N5,O5),2)</f>
        <v>79.8</v>
      </c>
      <c r="AE5" s="36" t="s">
        <v>96</v>
      </c>
      <c r="AF5" s="34" t="s">
        <v>28</v>
      </c>
      <c r="AG5" s="73">
        <f t="shared" si="0"/>
        <v>1.2241053221288514</v>
      </c>
      <c r="AH5" s="66">
        <f>(((P5-Q5+1.25*Q5)/2)+(T5/3)-(W5-0.2*X5+0.5*Y5)+(AD5/250)+(AA5/20))+1</f>
        <v>1.2144380952380951</v>
      </c>
      <c r="AI5" s="62">
        <f>(((P5-Q5+1.25*Q5+T5)/2)+(1-(W5-0.25*X5+0.5*Y5))+(AD5/200)+(AA5/18))</f>
        <v>1.3317521008403361</v>
      </c>
      <c r="AJ5" s="23">
        <f>((P5/2)+(1-(W5-0.25*X5+0.5*Y5))+(AD5/200)+(AA5/18))</f>
        <v>1.2014999999999998</v>
      </c>
      <c r="AK5" s="20">
        <f>(((P5/2)+(1-W5)+(AD5/200)+(AA5/9)))/1.06</f>
        <v>1.1358490566037736</v>
      </c>
      <c r="AL5" s="18">
        <f>((P5/2)+(1-W5)+(AD5/200)+(AA5/9))</f>
        <v>1.204</v>
      </c>
      <c r="AM5" s="15">
        <f>((P5/2)+(1-W5)+(AD5/200))</f>
        <v>1.1839999999999999</v>
      </c>
      <c r="AN5" s="68">
        <f>(((P5-Q5+1.25*Q5)/2)+(T5/3)-(W5-0.2*X5+0.5*Y5)+(AD5/250)+(AA5/18))*10</f>
        <v>2.1543809523809516</v>
      </c>
      <c r="AO5" s="10">
        <f>(((P5-P13)-(W5-W13)+((AD5-AD13)/100))/2)*10</f>
        <v>5.4099999999999993</v>
      </c>
      <c r="AP5" s="2">
        <f>(((P5-P13)-(W5-W13)+(AD5-AD13))/100)+1</f>
        <v>1.4781</v>
      </c>
      <c r="AQ5" s="12">
        <f>((P5-P13)-(W5-W13)+((AD5-AD13)/100))*10</f>
        <v>10.819999999999999</v>
      </c>
      <c r="AR5" s="12">
        <f>((P5-P13)-(W5-W13)+((AD5-AD13)/116))+1</f>
        <v>2.0168965517241375</v>
      </c>
      <c r="AS5" s="5">
        <f>(((P5-P13)-(W5-W13)+((AD5-AD13)/100))/2)+1</f>
        <v>1.5409999999999999</v>
      </c>
    </row>
    <row r="6" spans="1:45" x14ac:dyDescent="0.25">
      <c r="A6" s="37" t="s">
        <v>26</v>
      </c>
      <c r="B6" s="37">
        <v>116</v>
      </c>
      <c r="C6" s="37">
        <v>40</v>
      </c>
      <c r="D6" s="37">
        <v>40</v>
      </c>
      <c r="E6" s="37">
        <v>72</v>
      </c>
      <c r="F6" s="37">
        <v>31</v>
      </c>
      <c r="G6" s="37">
        <v>14</v>
      </c>
      <c r="H6" s="37">
        <v>14</v>
      </c>
      <c r="I6" s="37">
        <v>83</v>
      </c>
      <c r="J6" s="37">
        <v>2</v>
      </c>
      <c r="K6" s="37">
        <v>1</v>
      </c>
      <c r="L6" s="37">
        <v>241</v>
      </c>
      <c r="M6" s="37">
        <v>7</v>
      </c>
      <c r="N6" s="37">
        <v>12488</v>
      </c>
      <c r="O6" s="37">
        <v>150</v>
      </c>
      <c r="P6" s="38">
        <f>ROUND(IMDIV(B6,O6),2)</f>
        <v>0.77</v>
      </c>
      <c r="Q6" s="55">
        <f>(D6/O6)</f>
        <v>0.26666666666666666</v>
      </c>
      <c r="R6" s="55">
        <f>(E6/O6)*100</f>
        <v>48</v>
      </c>
      <c r="S6" s="38">
        <f>ROUND((D6/E6)*100,2)</f>
        <v>55.56</v>
      </c>
      <c r="T6" s="55">
        <f>F6/O6</f>
        <v>0.20666666666666667</v>
      </c>
      <c r="U6" s="55">
        <f>G6/O6</f>
        <v>9.3333333333333338E-2</v>
      </c>
      <c r="V6" s="55">
        <f>H6/O6</f>
        <v>9.3333333333333338E-2</v>
      </c>
      <c r="W6" s="38">
        <f>ROUND(IMDIV(I6,O6),2)</f>
        <v>0.55000000000000004</v>
      </c>
      <c r="X6" s="38">
        <f>ROUND(IMDIV(J6,O6),2)</f>
        <v>0.01</v>
      </c>
      <c r="Y6" s="38">
        <f>ROUND(IMDIV(K6,O6),2)</f>
        <v>0.01</v>
      </c>
      <c r="Z6" s="38">
        <f>ROUND(IMDIV(L6,O6),2)</f>
        <v>1.61</v>
      </c>
      <c r="AA6" s="38">
        <f>ROUND(IMDIV(M6,O6),2)</f>
        <v>0.05</v>
      </c>
      <c r="AB6" s="38">
        <f>ROUND(IMDIV(B6,I6),2)</f>
        <v>1.4</v>
      </c>
      <c r="AC6" s="38">
        <f>ROUND(IMDIV(C6,B6),4)*100</f>
        <v>34.479999999999997</v>
      </c>
      <c r="AD6" s="38">
        <f>ROUND(IMDIV(N6,O6),2)</f>
        <v>83.25</v>
      </c>
      <c r="AE6" s="39" t="s">
        <v>95</v>
      </c>
      <c r="AF6" s="77" t="s">
        <v>94</v>
      </c>
      <c r="AG6" s="73">
        <f t="shared" si="0"/>
        <v>1.2897222222222222</v>
      </c>
      <c r="AH6" s="66">
        <f>(((P6-Q6+1.25*Q6)/2)+(T6/3)-(W6-0.2*X6+0.5*Y6)+(AD6/250)+(AA6/20))+1</f>
        <v>1.2697222222222222</v>
      </c>
      <c r="AI6" s="62">
        <f>(((P6-Q6+1.25*Q6+T6)/2)+(1-(W6-0.25*X6+0.5*Y6))+(AD6/200)+(AA6/18))</f>
        <v>1.3881944444444443</v>
      </c>
      <c r="AJ6" s="23">
        <f>((P6/2)+(1-(W6-0.25*X6+0.5*Y6))+(AD6/200)+(AA6/18))</f>
        <v>1.2515277777777776</v>
      </c>
      <c r="AK6" s="20">
        <f>(((P6/2)+(1-W6)+(AD6/200)+(AA6/9)))/1.06</f>
        <v>1.1856656184486372</v>
      </c>
      <c r="AL6" s="18">
        <f>((P6/2)+(1-W6)+(AD6/200)+(AA6/9))</f>
        <v>1.2568055555555555</v>
      </c>
      <c r="AM6" s="15">
        <f>((P6/2)+(1-W6)+(AD6/200))</f>
        <v>1.25125</v>
      </c>
      <c r="AN6" s="68">
        <f>(((P6-Q6+1.25*Q6)/2)+(T6/3)-(W6-0.2*X6+0.5*Y6)+(AD6/250)+(AA6/18))*10</f>
        <v>2.6999999999999997</v>
      </c>
      <c r="AO6" s="10">
        <f>(((P6-P20)-(W6-W20)+((AD6-AD20)/100))/2)*10</f>
        <v>-6.2500000000000125E-2</v>
      </c>
      <c r="AP6" s="2">
        <f>(((P6-P20)-(W6-W20)+(AD6-AD20))/100)+1</f>
        <v>1.0172000000000001</v>
      </c>
      <c r="AQ6" s="12">
        <f>((P6-P20)-(W6-W20)+((AD6-AD20)/100))*10</f>
        <v>-0.12500000000000025</v>
      </c>
      <c r="AR6" s="12">
        <f>((P6-P20)-(W6-W20)+((AD6-AD20)/116))+1</f>
        <v>0.98508620689655169</v>
      </c>
      <c r="AS6" s="5">
        <f>(((P6-P20)-(W6-W20)+((AD6-AD20)/100))/2)+1</f>
        <v>0.99375000000000002</v>
      </c>
    </row>
    <row r="7" spans="1:45" x14ac:dyDescent="0.25">
      <c r="A7" s="37" t="s">
        <v>19</v>
      </c>
      <c r="B7" s="37">
        <v>76</v>
      </c>
      <c r="C7" s="37">
        <v>38</v>
      </c>
      <c r="D7" s="37">
        <v>36</v>
      </c>
      <c r="E7" s="37">
        <v>78</v>
      </c>
      <c r="F7" s="37">
        <v>18</v>
      </c>
      <c r="G7" s="37">
        <v>8</v>
      </c>
      <c r="H7" s="37">
        <v>6</v>
      </c>
      <c r="I7" s="37">
        <v>88</v>
      </c>
      <c r="J7" s="37">
        <v>9</v>
      </c>
      <c r="K7" s="37">
        <v>0</v>
      </c>
      <c r="L7" s="37">
        <v>162</v>
      </c>
      <c r="M7" s="37">
        <v>15</v>
      </c>
      <c r="N7" s="37">
        <v>9484</v>
      </c>
      <c r="O7" s="37">
        <v>150</v>
      </c>
      <c r="P7" s="38">
        <f>ROUND(IMDIV(B7,O7),2)</f>
        <v>0.51</v>
      </c>
      <c r="Q7" s="55">
        <f>(D7/O7)</f>
        <v>0.24</v>
      </c>
      <c r="R7" s="55">
        <f>(E7/O7)*100</f>
        <v>52</v>
      </c>
      <c r="S7" s="38">
        <f>ROUND((D7/E7)*100,2)</f>
        <v>46.15</v>
      </c>
      <c r="T7" s="55">
        <f>F7/O7</f>
        <v>0.12</v>
      </c>
      <c r="U7" s="55">
        <f>G7/O7</f>
        <v>5.3333333333333337E-2</v>
      </c>
      <c r="V7" s="55">
        <f>H7/O7</f>
        <v>0.04</v>
      </c>
      <c r="W7" s="38">
        <f>ROUND(IMDIV(I7,O7),2)</f>
        <v>0.59</v>
      </c>
      <c r="X7" s="38">
        <f>ROUND(IMDIV(J7,O7),2)</f>
        <v>0.06</v>
      </c>
      <c r="Y7" s="38">
        <f>ROUND(IMDIV(K7,O7),2)</f>
        <v>0</v>
      </c>
      <c r="Z7" s="38">
        <f>ROUND(IMDIV(L7,O7),2)</f>
        <v>1.08</v>
      </c>
      <c r="AA7" s="38">
        <f>ROUND(IMDIV(M7,O7),2)</f>
        <v>0.1</v>
      </c>
      <c r="AB7" s="38">
        <f>ROUND(IMDIV(B7,I7),2)</f>
        <v>0.86</v>
      </c>
      <c r="AC7" s="38">
        <f>ROUND(IMDIV(C7,B7),4)*100</f>
        <v>50</v>
      </c>
      <c r="AD7" s="38">
        <f>ROUND(IMDIV(N7,O7),2)</f>
        <v>63.23</v>
      </c>
      <c r="AE7" s="40" t="s">
        <v>95</v>
      </c>
      <c r="AF7" s="37" t="s">
        <v>28</v>
      </c>
      <c r="AG7" s="73">
        <f t="shared" si="0"/>
        <v>1.0032533333333333</v>
      </c>
      <c r="AH7" s="66">
        <f>(((P7-Q7+1.25*Q7)/2)+(T7/3)-(W7-0.2*X7+0.5*Y7)+(AD7/250)+(AA7/20))+1</f>
        <v>1.00492</v>
      </c>
      <c r="AI7" s="62">
        <f>(((P7-Q7+1.25*Q7+T7)/2)+(1-(W7-0.25*X7+0.5*Y7))+(AD7/200)+(AA7/18))</f>
        <v>1.0917055555555555</v>
      </c>
      <c r="AJ7" s="23">
        <f>((P7/2)+(1-(W7-0.25*X7+0.5*Y7))+(AD7/200)+(AA7/18))</f>
        <v>1.0017055555555556</v>
      </c>
      <c r="AK7" s="20">
        <f>(((P7/2)+(1-W7)+(AD7/200)+(AA7/9)))/1.06</f>
        <v>0.9360953878406707</v>
      </c>
      <c r="AL7" s="18">
        <f>((P7/2)+(1-W7)+(AD7/200)+(AA7/9))</f>
        <v>0.99226111111111104</v>
      </c>
      <c r="AM7" s="15">
        <f>((P7/2)+(1-W7)+(AD7/200))</f>
        <v>0.98114999999999997</v>
      </c>
      <c r="AN7" s="68">
        <f>(((P7-Q7+1.25*Q7)/2)+(T7/3)-(W7-0.2*X7+0.5*Y7)+(AD7/250)+(AA7/18))*10</f>
        <v>5.475555555555587E-2</v>
      </c>
      <c r="AO7" s="10">
        <f>(((P7-P13)-(W7-W13)+((AD7-AD13)/100))/2)*10</f>
        <v>3.5314999999999994</v>
      </c>
      <c r="AP7" s="2">
        <f>(((P7-P13)-(W7-W13)+(AD7-AD13))/100)+1</f>
        <v>1.3103</v>
      </c>
      <c r="AQ7" s="12">
        <f>((P7-P13)-(W7-W13)+((AD7-AD13)/100))*10</f>
        <v>7.0629999999999988</v>
      </c>
      <c r="AR7" s="12">
        <f>((P7-P13)-(W7-W13)+((AD7-AD13)/116))+1</f>
        <v>1.6640517241379311</v>
      </c>
      <c r="AS7" s="5">
        <f>(((P7-P13)-(W7-W13)+((AD7-AD13)/100))/2)+1</f>
        <v>1.3531499999999999</v>
      </c>
    </row>
    <row r="8" spans="1:45" x14ac:dyDescent="0.25">
      <c r="A8" s="31" t="s">
        <v>27</v>
      </c>
      <c r="B8" s="31">
        <v>105</v>
      </c>
      <c r="C8" s="31">
        <v>52</v>
      </c>
      <c r="D8" s="31">
        <v>52</v>
      </c>
      <c r="E8" s="31">
        <v>85</v>
      </c>
      <c r="F8" s="31">
        <v>26</v>
      </c>
      <c r="G8" s="31">
        <v>15</v>
      </c>
      <c r="H8" s="31">
        <v>6</v>
      </c>
      <c r="I8" s="31">
        <v>78</v>
      </c>
      <c r="J8" s="31">
        <v>4</v>
      </c>
      <c r="K8" s="31">
        <v>0</v>
      </c>
      <c r="L8" s="31">
        <v>1160</v>
      </c>
      <c r="M8" s="31">
        <v>25</v>
      </c>
      <c r="N8" s="31">
        <v>12319</v>
      </c>
      <c r="O8" s="31">
        <v>139</v>
      </c>
      <c r="P8" s="32">
        <f>ROUND(IMDIV(B8,O8),2)</f>
        <v>0.76</v>
      </c>
      <c r="Q8" s="53">
        <f>(D8/O8)</f>
        <v>0.37410071942446044</v>
      </c>
      <c r="R8" s="53">
        <f>(E8/O8)*100</f>
        <v>61.151079136690647</v>
      </c>
      <c r="S8" s="32">
        <f>ROUND((D8/E8)*100,2)</f>
        <v>61.18</v>
      </c>
      <c r="T8" s="53">
        <f>F8/O8</f>
        <v>0.18705035971223022</v>
      </c>
      <c r="U8" s="53">
        <f>G8/O8</f>
        <v>0.1079136690647482</v>
      </c>
      <c r="V8" s="53">
        <f>H8/O8</f>
        <v>4.3165467625899283E-2</v>
      </c>
      <c r="W8" s="32">
        <f>ROUND(IMDIV(I8,O8),2)</f>
        <v>0.56000000000000005</v>
      </c>
      <c r="X8" s="32">
        <f>ROUND(IMDIV(J8,O8),2)</f>
        <v>0.03</v>
      </c>
      <c r="Y8" s="32">
        <f>ROUND(IMDIV(K8,O8),2)</f>
        <v>0</v>
      </c>
      <c r="Z8" s="32">
        <f>ROUND(IMDIV(L8,O8),2)</f>
        <v>8.35</v>
      </c>
      <c r="AA8" s="32">
        <f>ROUND(IMDIV(M8,O8),2)</f>
        <v>0.18</v>
      </c>
      <c r="AB8" s="32">
        <f>ROUND(IMDIV(B8,I8),2)</f>
        <v>1.35</v>
      </c>
      <c r="AC8" s="32">
        <f>ROUND(IMDIV(C8,B8),4)*100</f>
        <v>49.519999999999996</v>
      </c>
      <c r="AD8" s="32">
        <f>ROUND(IMDIV(N8,O8),2)</f>
        <v>88.63</v>
      </c>
      <c r="AE8" s="33" t="s">
        <v>95</v>
      </c>
      <c r="AF8" s="31" t="s">
        <v>94</v>
      </c>
      <c r="AG8" s="73">
        <f t="shared" si="0"/>
        <v>1.2984161630695443</v>
      </c>
      <c r="AH8" s="66">
        <f>(((P8-Q8+1.25*Q8)/2)+(T8/3)-(W8-0.2*X8+0.5*Y8)+(AD8/250)+(AA8/20))+1</f>
        <v>1.2986327098321342</v>
      </c>
      <c r="AI8" s="62">
        <f>(((P8-Q8+1.25*Q8+T8)/2)+(1-(W8-0.25*X8+0.5*Y8))+(AD8/200)+(AA8/18))</f>
        <v>1.4209377697841725</v>
      </c>
      <c r="AJ8" s="23">
        <f>((P8/2)+(1-(W8-0.25*X8+0.5*Y8))+(AD8/200)+(AA8/18))</f>
        <v>1.2806499999999998</v>
      </c>
      <c r="AK8" s="20">
        <f>(((P8/2)+(1-W8)+(AD8/200)+(AA8/9)))/1.06</f>
        <v>1.2105188679245282</v>
      </c>
      <c r="AL8" s="18">
        <f>((P8/2)+(1-W8)+(AD8/200)+(AA8/9))</f>
        <v>1.28315</v>
      </c>
      <c r="AM8" s="15">
        <f>((P8/2)+(1-W8)+(AD8/200))</f>
        <v>1.26315</v>
      </c>
      <c r="AN8" s="68">
        <f>(((P8-Q8+1.25*Q8)/2)+(T8/3)-(W8-0.2*X8+0.5*Y8)+(AD8/250)+(AA8/18))*10</f>
        <v>2.9963270983213426</v>
      </c>
      <c r="AO8" s="10">
        <f>(((P8-P17)-(W8-W17)+((AD8-AD17)/100))/2)*10</f>
        <v>2.8864999999999998</v>
      </c>
      <c r="AP8" s="2">
        <f>(((P8-P17)-(W8-W17)+(AD8-AD17))/100)+1</f>
        <v>1.2258499999999999</v>
      </c>
      <c r="AQ8" s="12">
        <f>((P8-P17)-(W8-W17)+((AD8-AD17)/100))*10</f>
        <v>5.7729999999999997</v>
      </c>
      <c r="AR8" s="12">
        <f>((P8-P17)-(W8-W17)+((AD8-AD17)/116))+1</f>
        <v>1.5466379310344827</v>
      </c>
      <c r="AS8" s="5">
        <f>(((P8-P17)-(W8-W17)+((AD8-AD17)/100))/2)+1</f>
        <v>1.2886500000000001</v>
      </c>
    </row>
    <row r="9" spans="1:45" x14ac:dyDescent="0.25">
      <c r="A9" s="31" t="s">
        <v>20</v>
      </c>
      <c r="B9" s="31">
        <v>73</v>
      </c>
      <c r="C9" s="31">
        <v>37</v>
      </c>
      <c r="D9" s="31">
        <v>27</v>
      </c>
      <c r="E9" s="31">
        <v>54</v>
      </c>
      <c r="F9" s="31">
        <v>10</v>
      </c>
      <c r="G9" s="31">
        <v>7</v>
      </c>
      <c r="H9" s="31">
        <v>6</v>
      </c>
      <c r="I9" s="31">
        <v>86</v>
      </c>
      <c r="J9" s="31">
        <v>5</v>
      </c>
      <c r="K9" s="31">
        <v>0</v>
      </c>
      <c r="L9" s="31">
        <v>353</v>
      </c>
      <c r="M9" s="31">
        <v>27</v>
      </c>
      <c r="N9" s="31">
        <v>7930</v>
      </c>
      <c r="O9" s="31">
        <v>139</v>
      </c>
      <c r="P9" s="32">
        <f>ROUND(IMDIV(B9,O9),2)</f>
        <v>0.53</v>
      </c>
      <c r="Q9" s="53">
        <f>(D9/O9)</f>
        <v>0.19424460431654678</v>
      </c>
      <c r="R9" s="53">
        <f>(E9/O9)*100</f>
        <v>38.848920863309353</v>
      </c>
      <c r="S9" s="32">
        <f>ROUND((D9/E9)*100,2)</f>
        <v>50</v>
      </c>
      <c r="T9" s="53">
        <f>F9/O9</f>
        <v>7.1942446043165464E-2</v>
      </c>
      <c r="U9" s="53">
        <f>G9/O9</f>
        <v>5.0359712230215826E-2</v>
      </c>
      <c r="V9" s="53">
        <f>H9/O9</f>
        <v>4.3165467625899283E-2</v>
      </c>
      <c r="W9" s="32">
        <f>ROUND(IMDIV(I9,O9),2)</f>
        <v>0.62</v>
      </c>
      <c r="X9" s="32">
        <f>ROUND(IMDIV(J9,O9),2)</f>
        <v>0.04</v>
      </c>
      <c r="Y9" s="32">
        <f>ROUND(IMDIV(K9,O9),2)</f>
        <v>0</v>
      </c>
      <c r="Z9" s="32">
        <f>ROUND(IMDIV(L9,O9),2)</f>
        <v>2.54</v>
      </c>
      <c r="AA9" s="32">
        <f>ROUND(IMDIV(M9,O9),2)</f>
        <v>0.19</v>
      </c>
      <c r="AB9" s="32">
        <f>ROUND(IMDIV(B9,I9),2)</f>
        <v>0.85</v>
      </c>
      <c r="AC9" s="32">
        <f>ROUND(IMDIV(C9,B9),4)*100</f>
        <v>50.68</v>
      </c>
      <c r="AD9" s="32">
        <f>ROUND(IMDIV(N9,O9),2)</f>
        <v>57.05</v>
      </c>
      <c r="AE9" s="33" t="s">
        <v>95</v>
      </c>
      <c r="AF9" s="31" t="s">
        <v>28</v>
      </c>
      <c r="AG9" s="73">
        <f t="shared" si="0"/>
        <v>0.93834412470023987</v>
      </c>
      <c r="AH9" s="66">
        <f>(((P9-Q9+1.25*Q9)/2)+(T9/3)-(W9-0.2*X9+0.5*Y9)+(AD9/250)+(AA9/20))+1</f>
        <v>0.93896139088729025</v>
      </c>
      <c r="AI9" s="62">
        <f>(((P9-Q9+1.25*Q9+T9)/2)+(1-(W9-0.25*X9+0.5*Y9))+(AD9/200)+(AA9/18))</f>
        <v>1.0110573541167067</v>
      </c>
      <c r="AJ9" s="23">
        <f>((P9/2)+(1-(W9-0.25*X9+0.5*Y9))+(AD9/200)+(AA9/18))</f>
        <v>0.95080555555555557</v>
      </c>
      <c r="AK9" s="20">
        <f>(((P9/2)+(1-W9)+(AD9/200)+(AA9/9)))/1.06</f>
        <v>0.8975104821802935</v>
      </c>
      <c r="AL9" s="18">
        <f>((P9/2)+(1-W9)+(AD9/200)+(AA9/9))</f>
        <v>0.9513611111111111</v>
      </c>
      <c r="AM9" s="15">
        <f>((P9/2)+(1-W9)+(AD9/200))</f>
        <v>0.93025000000000002</v>
      </c>
      <c r="AN9" s="68">
        <f>(((P9-Q9+1.25*Q9)/2)+(T9/3)-(W9-0.2*X9+0.5*Y9)+(AD9/250)+(AA9/18))*10</f>
        <v>-0.59983053557154231</v>
      </c>
      <c r="AO9" s="10">
        <f>(((P9-P13)-(W9-W13)+((AD9-AD13)/100))/2)*10</f>
        <v>3.1724999999999999</v>
      </c>
      <c r="AP9" s="2">
        <f>(((P9-P13)-(W9-W13)+(AD9-AD13))/100)+1</f>
        <v>1.2484</v>
      </c>
      <c r="AQ9" s="12">
        <f>((P9-P13)-(W9-W13)+((AD9-AD13)/100))*10</f>
        <v>6.3449999999999998</v>
      </c>
      <c r="AR9" s="12">
        <f>((P9-P13)-(W9-W13)+((AD9-AD13)/116))+1</f>
        <v>1.6007758620689656</v>
      </c>
      <c r="AS9" s="5">
        <f>(((P9-P13)-(W9-W13)+((AD9-AD13)/100))/2)+1</f>
        <v>1.31725</v>
      </c>
    </row>
    <row r="10" spans="1:45" x14ac:dyDescent="0.25">
      <c r="A10" s="41" t="s">
        <v>17</v>
      </c>
      <c r="B10" s="41">
        <v>57</v>
      </c>
      <c r="C10" s="41">
        <v>27</v>
      </c>
      <c r="D10" s="41">
        <v>21</v>
      </c>
      <c r="E10" s="41">
        <v>40</v>
      </c>
      <c r="F10" s="41">
        <v>12</v>
      </c>
      <c r="G10" s="41">
        <v>6</v>
      </c>
      <c r="H10" s="41">
        <v>6</v>
      </c>
      <c r="I10" s="41">
        <v>47</v>
      </c>
      <c r="J10" s="41">
        <v>4</v>
      </c>
      <c r="K10" s="41">
        <v>0</v>
      </c>
      <c r="L10" s="41">
        <v>159</v>
      </c>
      <c r="M10" s="41">
        <v>10</v>
      </c>
      <c r="N10" s="41">
        <v>6268</v>
      </c>
      <c r="O10" s="41">
        <v>78</v>
      </c>
      <c r="P10" s="42">
        <f>ROUND(IMDIV(B10,O10),2)</f>
        <v>0.73</v>
      </c>
      <c r="Q10" s="56">
        <f>(D10/O10)</f>
        <v>0.26923076923076922</v>
      </c>
      <c r="R10" s="56">
        <f>(E10/O10)*100</f>
        <v>51.282051282051277</v>
      </c>
      <c r="S10" s="42">
        <f>ROUND((D10/E10)*100,2)</f>
        <v>52.5</v>
      </c>
      <c r="T10" s="56">
        <f>F10/O10</f>
        <v>0.15384615384615385</v>
      </c>
      <c r="U10" s="56">
        <f>G10/O10</f>
        <v>7.6923076923076927E-2</v>
      </c>
      <c r="V10" s="56">
        <f>H10/O10</f>
        <v>7.6923076923076927E-2</v>
      </c>
      <c r="W10" s="42">
        <f>ROUND(IMDIV(I10,O10),2)</f>
        <v>0.6</v>
      </c>
      <c r="X10" s="42">
        <f>ROUND(IMDIV(J10,O10),2)</f>
        <v>0.05</v>
      </c>
      <c r="Y10" s="42">
        <f>ROUND(IMDIV(K10,O10),2)</f>
        <v>0</v>
      </c>
      <c r="Z10" s="42">
        <f>ROUND(IMDIV(L10,O10),2)</f>
        <v>2.04</v>
      </c>
      <c r="AA10" s="42">
        <f>ROUND(IMDIV(M10,O10),2)</f>
        <v>0.13</v>
      </c>
      <c r="AB10" s="42">
        <f>ROUND(IMDIV(B10,I10),2)</f>
        <v>1.21</v>
      </c>
      <c r="AC10" s="42">
        <f>ROUND(IMDIV(C10,B10),4)*100</f>
        <v>47.370000000000005</v>
      </c>
      <c r="AD10" s="42">
        <f>ROUND(IMDIV(N10,O10),2)</f>
        <v>80.36</v>
      </c>
      <c r="AE10" s="41" t="s">
        <v>51</v>
      </c>
      <c r="AF10" s="41" t="s">
        <v>28</v>
      </c>
      <c r="AG10" s="73">
        <f t="shared" si="0"/>
        <v>1.1962835897435897</v>
      </c>
      <c r="AH10" s="66">
        <f>(((P10-Q10+1.25*Q10)/2)+(T10/3)-(W10-0.2*X10+0.5*Y10)+(AD10/250)+(AA10/20))+1</f>
        <v>1.1878758974358974</v>
      </c>
      <c r="AI10" s="62">
        <f>(((P10-Q10+1.25*Q10+T10)/2)+(1-(W10-0.25*X10+0.5*Y10))+(AD10/200)+(AA10/18))</f>
        <v>1.2970991452991452</v>
      </c>
      <c r="AJ10" s="23">
        <f>((P10/2)+(1-(W10-0.25*X10+0.5*Y10))+(AD10/200)+(AA10/18))</f>
        <v>1.1865222222222223</v>
      </c>
      <c r="AK10" s="20">
        <f>(((P10/2)+(1-W10)+(AD10/200)+(AA10/9)))/1.06</f>
        <v>1.1143815513626836</v>
      </c>
      <c r="AL10" s="18">
        <f>((P10/2)+(1-W10)+(AD10/200)+(AA10/9))</f>
        <v>1.1812444444444445</v>
      </c>
      <c r="AM10" s="15">
        <f>((P10/2)+(1-W10)+(AD10/200))</f>
        <v>1.1668000000000001</v>
      </c>
      <c r="AN10" s="68">
        <f>(((P10-Q10+1.25*Q10)/2)+(T10/3)-(W10-0.2*X10+0.5*Y10)+(AD10/250)+(AA10/18))*10</f>
        <v>1.8859811965811966</v>
      </c>
      <c r="AO10" s="10">
        <f>(((P10-P22)-(W10-W22)+((AD10-AD22)/100))/2)*10</f>
        <v>0.55800000000000016</v>
      </c>
      <c r="AP10" s="2">
        <f>(((P10-P22)-(W10-W22)+(AD10-AD22))/100)+1</f>
        <v>1.0423</v>
      </c>
      <c r="AQ10" s="12">
        <f>((P10-P22)-(W10-W22)+((AD10-AD22)/100))*10</f>
        <v>1.1160000000000003</v>
      </c>
      <c r="AR10" s="12">
        <f>((P10-P22)-(W10-W22)+((AD10-AD22)/116))+1</f>
        <v>1.1058620689655172</v>
      </c>
      <c r="AS10" s="5">
        <f>(((P10-P22)-(W10-W22)+((AD10-AD22)/100))/2)+1</f>
        <v>1.0558000000000001</v>
      </c>
    </row>
    <row r="11" spans="1:45" x14ac:dyDescent="0.25">
      <c r="A11" s="41" t="s">
        <v>18</v>
      </c>
      <c r="B11" s="41">
        <v>43</v>
      </c>
      <c r="C11" s="41">
        <v>20</v>
      </c>
      <c r="D11" s="41">
        <v>14</v>
      </c>
      <c r="E11" s="41">
        <v>38</v>
      </c>
      <c r="F11" s="41">
        <v>7</v>
      </c>
      <c r="G11" s="41">
        <v>4</v>
      </c>
      <c r="H11" s="41">
        <v>5</v>
      </c>
      <c r="I11" s="41">
        <v>51</v>
      </c>
      <c r="J11" s="41">
        <v>6</v>
      </c>
      <c r="K11" s="41">
        <v>0</v>
      </c>
      <c r="L11" s="41">
        <v>115</v>
      </c>
      <c r="M11" s="41">
        <v>15</v>
      </c>
      <c r="N11" s="41">
        <v>4982</v>
      </c>
      <c r="O11" s="41">
        <v>78</v>
      </c>
      <c r="P11" s="42">
        <f>ROUND(IMDIV(B11,O11),2)</f>
        <v>0.55000000000000004</v>
      </c>
      <c r="Q11" s="56">
        <f>(D11/O11)</f>
        <v>0.17948717948717949</v>
      </c>
      <c r="R11" s="56">
        <f>(E11/O11)*100</f>
        <v>48.717948717948715</v>
      </c>
      <c r="S11" s="42">
        <f>ROUND((D11/E11)*100,2)</f>
        <v>36.840000000000003</v>
      </c>
      <c r="T11" s="56">
        <f>F11/O11</f>
        <v>8.9743589743589744E-2</v>
      </c>
      <c r="U11" s="56">
        <f>G11/O11</f>
        <v>5.128205128205128E-2</v>
      </c>
      <c r="V11" s="56">
        <f>H11/O11</f>
        <v>6.4102564102564097E-2</v>
      </c>
      <c r="W11" s="42">
        <f>ROUND(IMDIV(I11,O11),2)</f>
        <v>0.65</v>
      </c>
      <c r="X11" s="42">
        <f>ROUND(IMDIV(J11,O11),2)</f>
        <v>0.08</v>
      </c>
      <c r="Y11" s="42">
        <f>ROUND(IMDIV(K11,O11),2)</f>
        <v>0</v>
      </c>
      <c r="Z11" s="42">
        <f>ROUND(IMDIV(L11,O11),2)</f>
        <v>1.47</v>
      </c>
      <c r="AA11" s="42">
        <f>ROUND(IMDIV(M11,O11),2)</f>
        <v>0.19</v>
      </c>
      <c r="AB11" s="42">
        <f>ROUND(IMDIV(B11,I11),2)</f>
        <v>0.84</v>
      </c>
      <c r="AC11" s="42">
        <f>ROUND(IMDIV(C11,B11),4)*100</f>
        <v>46.51</v>
      </c>
      <c r="AD11" s="42">
        <f>ROUND(IMDIV(N11,O11),2)</f>
        <v>63.87</v>
      </c>
      <c r="AE11" s="41" t="s">
        <v>51</v>
      </c>
      <c r="AF11" s="41" t="s">
        <v>28</v>
      </c>
      <c r="AG11" s="73">
        <f t="shared" si="0"/>
        <v>0.95937401709401704</v>
      </c>
      <c r="AH11" s="66">
        <f>(((P11-Q11+1.25*Q11)/2)+(T11/3)-(W11-0.2*X11+0.5*Y11)+(AD11/250)+(AA11/20))+1</f>
        <v>0.95833042735042728</v>
      </c>
      <c r="AI11" s="62">
        <f>(((P11-Q11+1.25*Q11+T11)/2)+(1-(W11-0.25*X11+0.5*Y11))+(AD11/200)+(AA11/18))</f>
        <v>1.042213247863248</v>
      </c>
      <c r="AJ11" s="23">
        <f>((P11/2)+(1-(W11-0.25*X11+0.5*Y11))+(AD11/200)+(AA11/18))</f>
        <v>0.97490555555555558</v>
      </c>
      <c r="AK11" s="20">
        <f>(((P11/2)+(1-W11)+(AD11/200)+(AA11/9)))/1.06</f>
        <v>0.91081236897274631</v>
      </c>
      <c r="AL11" s="18">
        <f>((P11/2)+(1-W11)+(AD11/200)+(AA11/9))</f>
        <v>0.9654611111111111</v>
      </c>
      <c r="AM11" s="15">
        <f>((P11/2)+(1-W11)+(AD11/200))</f>
        <v>0.94435000000000002</v>
      </c>
      <c r="AN11" s="68">
        <f>(((P11-Q11+1.25*Q11)/2)+(T11/3)-(W11-0.2*X11+0.5*Y11)+(AD11/250)+(AA11/18))*10</f>
        <v>-0.40614017094017119</v>
      </c>
      <c r="AO11" s="10">
        <f>(((P11-P16)-(W11-W16)+((AD11-AD16)/100))/2)*10</f>
        <v>-0.55435714285714344</v>
      </c>
      <c r="AP11" s="2">
        <f>(((P11-P16)-(W11-W16)+(AD11-AD16))/100)+1</f>
        <v>0.94287142857142847</v>
      </c>
      <c r="AQ11" s="12">
        <f>((P11-P16)-(W11-W16)+((AD11-AD16)/100))*10</f>
        <v>-1.1087142857142869</v>
      </c>
      <c r="AR11" s="12">
        <f>((P11-P16)-(W11-W16)+((AD11-AD16)/116))+1</f>
        <v>0.89693349753694573</v>
      </c>
      <c r="AS11" s="5">
        <f>(((P11-P16)-(W11-W16)+((AD11-AD16)/100))/2)+1</f>
        <v>0.94456428571428563</v>
      </c>
    </row>
    <row r="12" spans="1:45" ht="15" customHeight="1" x14ac:dyDescent="0.25">
      <c r="A12" s="43" t="s">
        <v>23</v>
      </c>
      <c r="B12" s="44">
        <v>56</v>
      </c>
      <c r="C12" s="44">
        <v>38</v>
      </c>
      <c r="D12" s="44">
        <v>31</v>
      </c>
      <c r="E12" s="44">
        <v>56</v>
      </c>
      <c r="F12" s="44">
        <v>16</v>
      </c>
      <c r="G12" s="44">
        <v>3</v>
      </c>
      <c r="H12" s="44">
        <v>1</v>
      </c>
      <c r="I12" s="44">
        <v>50</v>
      </c>
      <c r="J12" s="44">
        <v>2</v>
      </c>
      <c r="K12" s="44">
        <v>0</v>
      </c>
      <c r="L12" s="44">
        <v>400</v>
      </c>
      <c r="M12" s="44">
        <v>29</v>
      </c>
      <c r="N12" s="44">
        <v>6996</v>
      </c>
      <c r="O12" s="44">
        <v>73</v>
      </c>
      <c r="P12" s="45">
        <f>ROUND(IMDIV(B12,O12),2)</f>
        <v>0.77</v>
      </c>
      <c r="Q12" s="57">
        <f>(D12/O12)</f>
        <v>0.42465753424657532</v>
      </c>
      <c r="R12" s="57">
        <f>(E12/O12)*100</f>
        <v>76.712328767123282</v>
      </c>
      <c r="S12" s="45">
        <f>ROUND((D12/E12)*100,2)</f>
        <v>55.36</v>
      </c>
      <c r="T12" s="57">
        <f>F12/O12</f>
        <v>0.21917808219178081</v>
      </c>
      <c r="U12" s="57">
        <f>G12/O12</f>
        <v>4.1095890410958902E-2</v>
      </c>
      <c r="V12" s="57">
        <f>H12/O12</f>
        <v>1.3698630136986301E-2</v>
      </c>
      <c r="W12" s="45">
        <f>ROUND(IMDIV(I12,O12),2)</f>
        <v>0.68</v>
      </c>
      <c r="X12" s="45">
        <f>ROUND(IMDIV(J12,O12),2)</f>
        <v>0.03</v>
      </c>
      <c r="Y12" s="45">
        <f>ROUND(IMDIV(K12,O12),2)</f>
        <v>0</v>
      </c>
      <c r="Z12" s="45">
        <f>ROUND(IMDIV(L12,O12),2)</f>
        <v>5.48</v>
      </c>
      <c r="AA12" s="45">
        <f>ROUND(IMDIV(M12,O12),2)</f>
        <v>0.4</v>
      </c>
      <c r="AB12" s="45">
        <f>ROUND(IMDIV(B12,I12),2)</f>
        <v>1.1200000000000001</v>
      </c>
      <c r="AC12" s="45">
        <f>ROUND(IMDIV(C12,B12),4)*100</f>
        <v>67.86</v>
      </c>
      <c r="AD12" s="45">
        <f>ROUND(IMDIV(N12,O12),2)</f>
        <v>95.84</v>
      </c>
      <c r="AE12" s="46" t="s">
        <v>44</v>
      </c>
      <c r="AF12" s="43" t="s">
        <v>28</v>
      </c>
      <c r="AG12" s="73">
        <f t="shared" si="0"/>
        <v>1.2208782648401826</v>
      </c>
      <c r="AH12" s="66">
        <f>(((P12-Q12+1.25*Q12)/2)+(T12/3)-(W12-0.2*X12+0.5*Y12)+(AD12/250)+(AA12/20))+1</f>
        <v>1.2405015525114156</v>
      </c>
      <c r="AI12" s="62">
        <f>(((P12-Q12+1.25*Q12+T12)/2)+(1-(W12-0.25*X12+0.5*Y12))+(AD12/200)+(AA12/18))</f>
        <v>1.3765934550989345</v>
      </c>
      <c r="AJ12" s="23">
        <f>((P12/2)+(1-(W12-0.25*X12+0.5*Y12))+(AD12/200)+(AA12/18))</f>
        <v>1.2139222222222221</v>
      </c>
      <c r="AK12" s="20">
        <f>(((P12/2)+(1-W12)+(AD12/200)+(AA12/9)))/1.06</f>
        <v>1.1590985324947589</v>
      </c>
      <c r="AL12" s="18">
        <f>((P12/2)+(1-W12)+(AD12/200)+(AA12/9))</f>
        <v>1.2286444444444444</v>
      </c>
      <c r="AM12" s="15">
        <f>((P12/2)+(1-W12)+(AD12/200))</f>
        <v>1.1841999999999999</v>
      </c>
      <c r="AN12" s="68">
        <f>(((P12-Q12+1.25*Q12)/2)+(T12/3)-(W12-0.2*X12+0.5*Y12)+(AD12/250)+(AA12/18))*10</f>
        <v>2.427237747336378</v>
      </c>
      <c r="AO12" s="10">
        <f>(((P12-P19)-(W12-W19)+((AD12-AD19)/100))/2)*10</f>
        <v>-0.27299999999999935</v>
      </c>
      <c r="AP12" s="2">
        <f>(((P12-P19)-(W12-W19)+(AD12-AD19))/100)+1</f>
        <v>1.1335000000000002</v>
      </c>
      <c r="AQ12" s="12">
        <f>((P12-P19)-(W12-W19)+((AD12-AD19)/100))*10</f>
        <v>-0.54599999999999871</v>
      </c>
      <c r="AR12" s="12">
        <f>((P12-P19)-(W12-W19)+((AD12-AD19)/116))+1</f>
        <v>0.92672413793103459</v>
      </c>
      <c r="AS12" s="5">
        <f>(((P12-P19)-(W12-W19)+((AD12-AD19)/100))/2)+1</f>
        <v>0.97270000000000012</v>
      </c>
    </row>
    <row r="13" spans="1:45" ht="15" customHeight="1" x14ac:dyDescent="0.25">
      <c r="A13" s="43" t="s">
        <v>24</v>
      </c>
      <c r="B13" s="44">
        <v>18</v>
      </c>
      <c r="C13" s="44">
        <v>9</v>
      </c>
      <c r="D13" s="44">
        <v>5</v>
      </c>
      <c r="E13" s="44">
        <v>17</v>
      </c>
      <c r="F13" s="44">
        <v>1</v>
      </c>
      <c r="G13" s="44">
        <v>0</v>
      </c>
      <c r="H13" s="44">
        <v>1</v>
      </c>
      <c r="I13" s="44">
        <v>53</v>
      </c>
      <c r="J13" s="44">
        <v>1</v>
      </c>
      <c r="K13" s="44">
        <v>0</v>
      </c>
      <c r="L13" s="44">
        <v>111</v>
      </c>
      <c r="M13" s="44">
        <v>16</v>
      </c>
      <c r="N13" s="44">
        <v>2380</v>
      </c>
      <c r="O13" s="44">
        <v>73</v>
      </c>
      <c r="P13" s="45">
        <f>ROUND(IMDIV(B13,O13),2)</f>
        <v>0.25</v>
      </c>
      <c r="Q13" s="57">
        <f>(D13/O13)</f>
        <v>6.8493150684931503E-2</v>
      </c>
      <c r="R13" s="57">
        <f>(E13/O13)*100</f>
        <v>23.287671232876711</v>
      </c>
      <c r="S13" s="45">
        <f>ROUND((D13/E13)*100,2)</f>
        <v>29.41</v>
      </c>
      <c r="T13" s="57">
        <f>F13/O13</f>
        <v>1.3698630136986301E-2</v>
      </c>
      <c r="U13" s="57">
        <f>G13/O13</f>
        <v>0</v>
      </c>
      <c r="V13" s="57">
        <f>H13/O13</f>
        <v>1.3698630136986301E-2</v>
      </c>
      <c r="W13" s="45">
        <f>ROUND(IMDIV(I13,O13),2)</f>
        <v>0.73</v>
      </c>
      <c r="X13" s="45">
        <f>ROUND(IMDIV(J13,O13),2)</f>
        <v>0.01</v>
      </c>
      <c r="Y13" s="45">
        <f>ROUND(IMDIV(K13,O13),2)</f>
        <v>0</v>
      </c>
      <c r="Z13" s="45">
        <f>ROUND(IMDIV(L13,O13),2)</f>
        <v>1.52</v>
      </c>
      <c r="AA13" s="45">
        <f>ROUND(IMDIV(M13,O13),2)</f>
        <v>0.22</v>
      </c>
      <c r="AB13" s="45">
        <f>ROUND(IMDIV(B13,I13),2)</f>
        <v>0.34</v>
      </c>
      <c r="AC13" s="45">
        <f>ROUND(IMDIV(C13,B13),4)*100</f>
        <v>50</v>
      </c>
      <c r="AD13" s="45">
        <f>ROUND(IMDIV(N13,O13),2)</f>
        <v>32.6</v>
      </c>
      <c r="AE13" s="46" t="s">
        <v>44</v>
      </c>
      <c r="AF13" s="43" t="s">
        <v>28</v>
      </c>
      <c r="AG13" s="73">
        <f t="shared" si="0"/>
        <v>0.54564018264840186</v>
      </c>
      <c r="AH13" s="66">
        <f>(((P13-Q13+1.25*Q13)/2)+(T13/3)-(W13-0.2*X13+0.5*Y13)+(AD13/250)+(AA13/20))+1</f>
        <v>0.55152785388127867</v>
      </c>
      <c r="AI13" s="62">
        <f>(((P13-Q13+1.25*Q13+T13)/2)+(1-(W13-0.25*X13+0.5*Y13))+(AD13/200)+(AA13/18))</f>
        <v>0.58813318112633184</v>
      </c>
      <c r="AJ13" s="23">
        <f>((P13/2)+(1-(W13-0.25*X13+0.5*Y13))+(AD13/200)+(AA13/18))</f>
        <v>0.57272222222222224</v>
      </c>
      <c r="AK13" s="20">
        <f>(((P13/2)+(1-W13)+(AD13/200)+(AA13/9)))/1.06</f>
        <v>0.54947589098532501</v>
      </c>
      <c r="AL13" s="18">
        <f>((P13/2)+(1-W13)+(AD13/200)+(AA13/9))</f>
        <v>0.58244444444444454</v>
      </c>
      <c r="AM13" s="15">
        <f>((P13/2)+(1-W13)+(AD13/200))</f>
        <v>0.55800000000000005</v>
      </c>
      <c r="AN13" s="68">
        <f>(((P13-Q13+1.25*Q13)/2)+(T13/3)-(W13-0.2*X13+0.5*Y13)+(AD13/250)+(AA13/18))*10</f>
        <v>-4.4724992389649918</v>
      </c>
      <c r="AO13" s="10">
        <f>(((P13-P16)-(W13-W16)+((AD13-AD16)/100))/2)*10</f>
        <v>-4.0178571428571432</v>
      </c>
      <c r="AP13" s="2">
        <f>(((P13-P16)-(W13-W16)+(AD13-AD16))/100)+1</f>
        <v>0.62637142857142847</v>
      </c>
      <c r="AQ13" s="12">
        <f>((P13-P16)-(W13-W16)+((AD13-AD16)/100))*10</f>
        <v>-8.0357142857142865</v>
      </c>
      <c r="AR13" s="12">
        <f>((P13-P16)-(W13-W16)+((AD13-AD16)/116))+1</f>
        <v>0.24736453201970443</v>
      </c>
      <c r="AS13" s="5">
        <f>(((P13-P16)-(W13-W16)+((AD13-AD16)/100))/2)+1</f>
        <v>0.5982142857142857</v>
      </c>
    </row>
    <row r="14" spans="1:45" ht="15" customHeight="1" x14ac:dyDescent="0.25">
      <c r="A14" s="47" t="s">
        <v>29</v>
      </c>
      <c r="B14" s="48">
        <v>23</v>
      </c>
      <c r="C14" s="48">
        <v>8</v>
      </c>
      <c r="D14" s="48">
        <v>5</v>
      </c>
      <c r="E14" s="48">
        <v>31</v>
      </c>
      <c r="F14" s="48">
        <v>4</v>
      </c>
      <c r="G14" s="48">
        <v>2</v>
      </c>
      <c r="H14" s="48">
        <v>2</v>
      </c>
      <c r="I14" s="48">
        <v>57</v>
      </c>
      <c r="J14" s="48">
        <v>1</v>
      </c>
      <c r="K14" s="48">
        <v>0</v>
      </c>
      <c r="L14" s="47">
        <v>8</v>
      </c>
      <c r="M14" s="48">
        <v>2</v>
      </c>
      <c r="N14" s="48">
        <v>2902</v>
      </c>
      <c r="O14" s="48">
        <v>66</v>
      </c>
      <c r="P14" s="47">
        <f>ROUND(IMDIV(B14,O14),2)</f>
        <v>0.35</v>
      </c>
      <c r="Q14" s="58">
        <f>(D14/O14)</f>
        <v>7.575757575757576E-2</v>
      </c>
      <c r="R14" s="58">
        <f>(E14/O14)*100</f>
        <v>46.969696969696969</v>
      </c>
      <c r="S14" s="47">
        <f>ROUND((D14/E14)*100,2)</f>
        <v>16.13</v>
      </c>
      <c r="T14" s="58">
        <f>F14/O14</f>
        <v>6.0606060606060608E-2</v>
      </c>
      <c r="U14" s="58">
        <f>G14/O14</f>
        <v>3.0303030303030304E-2</v>
      </c>
      <c r="V14" s="58">
        <f>H14/O14</f>
        <v>3.0303030303030304E-2</v>
      </c>
      <c r="W14" s="47">
        <f>ROUND(IMDIV(I14,O14),2)</f>
        <v>0.86</v>
      </c>
      <c r="X14" s="47">
        <f>ROUND(IMDIV(J14,O14),2)</f>
        <v>0.02</v>
      </c>
      <c r="Y14" s="47">
        <f>ROUND(IMDIV(K14,O14),2)</f>
        <v>0</v>
      </c>
      <c r="Z14" s="47">
        <f>ROUND(IMDIV(L14,O14),2)</f>
        <v>0.12</v>
      </c>
      <c r="AA14" s="47">
        <f>ROUND(IMDIV(M14,O14),2)</f>
        <v>0.03</v>
      </c>
      <c r="AB14" s="47">
        <f>ROUND(IMDIV(B14,I14),2)</f>
        <v>0.4</v>
      </c>
      <c r="AC14" s="47">
        <f>ROUND(IMDIV(C14,B14),4)*100</f>
        <v>34.78</v>
      </c>
      <c r="AD14" s="47">
        <f>ROUND(IMDIV(N14,O14),2)</f>
        <v>43.97</v>
      </c>
      <c r="AE14" s="47" t="s">
        <v>45</v>
      </c>
      <c r="AF14" s="47" t="s">
        <v>28</v>
      </c>
      <c r="AG14" s="73">
        <f t="shared" si="0"/>
        <v>0.53072747474747484</v>
      </c>
      <c r="AH14" s="66">
        <f>(((P14-Q14+1.25*Q14)/2)+(T14/3)-(W14-0.2*X14+0.5*Y14)+(AD14/250)+(AA14/20))+1</f>
        <v>0.52605171717171717</v>
      </c>
      <c r="AI14" s="62">
        <f>(((P14-Q14+1.25*Q14+T14)/2)+(1-(W14-0.25*X14+0.5*Y14))+(AD14/200)+(AA14/18))</f>
        <v>0.58128939393939394</v>
      </c>
      <c r="AJ14" s="23">
        <f>((P14/2)+(1-(W14-0.25*X14+0.5*Y14))+(AD14/200)+(AA14/18))</f>
        <v>0.54151666666666665</v>
      </c>
      <c r="AK14" s="20">
        <f>(((P14/2)+(1-W14)+(AD14/200)+(AA14/9)))/1.06</f>
        <v>0.50772012578616355</v>
      </c>
      <c r="AL14" s="18">
        <f>((P14/2)+(1-W14)+(AD14/200)+(AA14/9))</f>
        <v>0.53818333333333335</v>
      </c>
      <c r="AM14" s="15">
        <f>((P14/2)+(1-W14)+(AD14/200))</f>
        <v>0.53485000000000005</v>
      </c>
      <c r="AN14" s="68">
        <f>(((P14-Q14+1.25*Q14)/2)+(T14/3)-(W14-0.2*X14+0.5*Y14)+(AD14/250)+(AA14/18))*10</f>
        <v>-4.7378161616161609</v>
      </c>
      <c r="AO14" s="10">
        <f>(((P14-P16)-(W14-W16)+((AD14-AD16)/100))/2)*10</f>
        <v>-3.5993571428571434</v>
      </c>
      <c r="AP14" s="2">
        <f>(((P14-P16)-(W14-W16)+(AD14-AD16))/100)+1</f>
        <v>0.73977142857142852</v>
      </c>
      <c r="AQ14" s="12">
        <f>((P14-P16)-(W14-W16)+((AD14-AD16)/100))*10</f>
        <v>-7.1987142857142867</v>
      </c>
      <c r="AR14" s="12">
        <f>((P14-P16)-(W14-W16)+((AD14-AD16)/116))+1</f>
        <v>0.31538177339901463</v>
      </c>
      <c r="AS14" s="5">
        <f>(((P14-P16)-(W14-W16)+((AD14-AD16)/100))/2)+1</f>
        <v>0.64006428571428564</v>
      </c>
    </row>
    <row r="15" spans="1:45" ht="15" customHeight="1" x14ac:dyDescent="0.25">
      <c r="A15" s="47" t="s">
        <v>25</v>
      </c>
      <c r="B15" s="48">
        <v>17</v>
      </c>
      <c r="C15" s="48">
        <v>4</v>
      </c>
      <c r="D15" s="48">
        <v>8</v>
      </c>
      <c r="E15" s="48">
        <v>35</v>
      </c>
      <c r="F15" s="48">
        <v>3</v>
      </c>
      <c r="G15" s="48">
        <v>1</v>
      </c>
      <c r="H15" s="48">
        <v>2</v>
      </c>
      <c r="I15" s="48">
        <v>57</v>
      </c>
      <c r="J15" s="48">
        <v>1</v>
      </c>
      <c r="K15" s="48">
        <v>2</v>
      </c>
      <c r="L15" s="48">
        <v>110</v>
      </c>
      <c r="M15" s="48">
        <v>22</v>
      </c>
      <c r="N15" s="48">
        <v>3449</v>
      </c>
      <c r="O15" s="48">
        <v>66</v>
      </c>
      <c r="P15" s="47">
        <f>ROUND(IMDIV(B15,O15),2)</f>
        <v>0.26</v>
      </c>
      <c r="Q15" s="58">
        <f>(D15/O15)</f>
        <v>0.12121212121212122</v>
      </c>
      <c r="R15" s="58">
        <f>(E15/O15)*100</f>
        <v>53.030303030303031</v>
      </c>
      <c r="S15" s="47">
        <f>ROUND((D15/E15)*100,2)</f>
        <v>22.86</v>
      </c>
      <c r="T15" s="58">
        <f>F15/O15</f>
        <v>4.5454545454545456E-2</v>
      </c>
      <c r="U15" s="58">
        <f>G15/O15</f>
        <v>1.5151515151515152E-2</v>
      </c>
      <c r="V15" s="58">
        <f>H15/O15</f>
        <v>3.0303030303030304E-2</v>
      </c>
      <c r="W15" s="47">
        <f>ROUND(IMDIV(I15,O15),2)</f>
        <v>0.86</v>
      </c>
      <c r="X15" s="47">
        <f>ROUND(IMDIV(J15,O15),2)</f>
        <v>0.02</v>
      </c>
      <c r="Y15" s="47">
        <f>ROUND(IMDIV(K15,O15),2)</f>
        <v>0.03</v>
      </c>
      <c r="Z15" s="47">
        <f>ROUND(IMDIV(L15,O15),2)</f>
        <v>1.67</v>
      </c>
      <c r="AA15" s="47">
        <f>ROUND(IMDIV(M15,O15),2)</f>
        <v>0.33</v>
      </c>
      <c r="AB15" s="47">
        <f>ROUND(IMDIV(B15,I15),2)</f>
        <v>0.3</v>
      </c>
      <c r="AC15" s="47">
        <f>ROUND(IMDIV(C15,B15),4)*100</f>
        <v>23.53</v>
      </c>
      <c r="AD15" s="47">
        <f>ROUND(IMDIV(N15,O15),2)</f>
        <v>52.26</v>
      </c>
      <c r="AE15" s="47" t="s">
        <v>45</v>
      </c>
      <c r="AF15" s="47" t="s">
        <v>28</v>
      </c>
      <c r="AG15" s="73">
        <f t="shared" si="0"/>
        <v>0.50843545454545458</v>
      </c>
      <c r="AH15" s="66">
        <f>(((P15-Q15+1.25*Q15)/2)+(T15/3)-(W15-0.2*X15+0.5*Y15)+(AD15/250)+(AA15/20))+1</f>
        <v>0.51484303030303025</v>
      </c>
      <c r="AI15" s="62">
        <f>(((P15-Q15+1.25*Q15+T15)/2)+(1-(W15-0.25*X15+0.5*Y15))+(AD15/200)+(AA15/18))</f>
        <v>0.57751212121212114</v>
      </c>
      <c r="AJ15" s="23">
        <f>((P15/2)+(1-(W15-0.25*X15+0.5*Y15))+(AD15/200)+(AA15/18))</f>
        <v>0.5396333333333333</v>
      </c>
      <c r="AK15" s="20">
        <f>(((P15/2)+(1-W15)+(AD15/200)+(AA15/9)))/1.06</f>
        <v>0.53581761006289297</v>
      </c>
      <c r="AL15" s="18">
        <f>((P15/2)+(1-W15)+(AD15/200)+(AA15/9))</f>
        <v>0.56796666666666662</v>
      </c>
      <c r="AM15" s="15">
        <f>((P15/2)+(1-W15)+(AD15/200))</f>
        <v>0.53129999999999999</v>
      </c>
      <c r="AN15" s="68">
        <f>(((P15-Q15+1.25*Q15)/2)+(T15/3)-(W15-0.2*X15+0.5*Y15)+(AD15/250)+(AA15/18))*10</f>
        <v>-4.833236363636364</v>
      </c>
      <c r="AO15" s="10">
        <f>(((P15-P16)-(W15-W16)+((AD15-AD16)/100))/2)*10</f>
        <v>-3.6348571428571437</v>
      </c>
      <c r="AP15" s="2">
        <f>(((P15-P16)-(W15-W16)+(AD15-AD16))/100)+1</f>
        <v>0.82177142857142838</v>
      </c>
      <c r="AQ15" s="12">
        <f>((P15-P16)-(W15-W16)+((AD15-AD16)/100))*10</f>
        <v>-7.2697142857142873</v>
      </c>
      <c r="AR15" s="12">
        <f>((P15-P16)-(W15-W16)+((AD15-AD16)/116))+1</f>
        <v>0.29684729064039406</v>
      </c>
      <c r="AS15" s="5">
        <f>(((P15-P16)-(W15-W16)+((AD15-AD16)/100))/2)+1</f>
        <v>0.63651428571428559</v>
      </c>
    </row>
    <row r="16" spans="1:45" ht="15" customHeight="1" x14ac:dyDescent="0.25">
      <c r="A16" s="3" t="s">
        <v>32</v>
      </c>
      <c r="B16" s="1"/>
      <c r="C16" s="1"/>
      <c r="D16" s="49"/>
      <c r="E16" s="49"/>
      <c r="F16" s="49"/>
      <c r="G16" s="49"/>
      <c r="H16" s="49"/>
      <c r="I16" s="1"/>
      <c r="J16" s="49"/>
      <c r="K16" s="49"/>
      <c r="L16" s="1"/>
      <c r="M16" s="1"/>
      <c r="N16" s="1"/>
      <c r="O16" s="1" t="s">
        <v>33</v>
      </c>
      <c r="P16" s="74">
        <f>AVERAGE(P2:P15)</f>
        <v>0.59071428571428564</v>
      </c>
      <c r="Q16" s="74">
        <f>AVERAGE(Q2:Q15)</f>
        <v>0.23728827267482974</v>
      </c>
      <c r="R16" s="74">
        <f>AVERAGE(R2:R15)</f>
        <v>50</v>
      </c>
      <c r="S16" s="74">
        <f>AVERAGE(S2:S15)</f>
        <v>46.305714285714281</v>
      </c>
      <c r="T16" s="74">
        <f>AVERAGE(T2:T15)</f>
        <v>0.13454678171337398</v>
      </c>
      <c r="U16" s="74">
        <f>AVERAGE(U2:U15)</f>
        <v>5.7693788659011647E-2</v>
      </c>
      <c r="V16" s="74">
        <f>AVERAGE(V2:V15)</f>
        <v>5.2591066416943666E-2</v>
      </c>
      <c r="W16" s="74">
        <f>AVERAGE(W2:W15)</f>
        <v>0.63642857142857134</v>
      </c>
      <c r="X16" s="74">
        <f>AVERAGE(X2:X15)</f>
        <v>3.3571428571428578E-2</v>
      </c>
      <c r="Y16" s="75"/>
      <c r="Z16" s="74">
        <f>AVERAGE(Z2:Z15)</f>
        <v>2.7749999999999995</v>
      </c>
      <c r="AA16" s="74">
        <f>AVERAGE(AA2:AA15)</f>
        <v>0.18571428571428572</v>
      </c>
      <c r="AB16" s="74">
        <f>AVERAGE(AB2:AB15)</f>
        <v>0.98571428571428588</v>
      </c>
      <c r="AC16" s="74">
        <f>AVERAGE(AC2:AC15)</f>
        <v>46.616428571428564</v>
      </c>
      <c r="AD16" s="74">
        <f>AVERAGE(AD2:AD15)</f>
        <v>69.528571428571439</v>
      </c>
      <c r="AE16" s="1"/>
      <c r="AF16" s="1"/>
      <c r="AG16" s="72">
        <f>AVERAGE(AG2:AG15)</f>
        <v>1.0280170971864129</v>
      </c>
      <c r="AH16" s="66">
        <f>AVERAGE(AH2:AH15)</f>
        <v>1.0261242470364309</v>
      </c>
      <c r="AI16" s="62">
        <f>AVERAGE(AI2:AI15)</f>
        <v>1.1207875995442154</v>
      </c>
      <c r="AJ16" s="23">
        <f>AVERAGE(AJ2:AJ15)</f>
        <v>1.0238531746031745</v>
      </c>
      <c r="AK16" s="20">
        <f>AVERAGE(AK2:AK15)</f>
        <v>0.96906259359089542</v>
      </c>
      <c r="AL16" s="18">
        <f>AVERAGE(AL2:AL15)</f>
        <v>1.0272063492063492</v>
      </c>
      <c r="AM16" s="15">
        <f>AVERAGE(AM2:AM15)</f>
        <v>1.0065714285714287</v>
      </c>
      <c r="AN16" s="68">
        <f>AVERAGE(AN2:AN15)</f>
        <v>0.27155993068176804</v>
      </c>
      <c r="AO16" s="10">
        <f>AVERAGE(AO2:AO15)</f>
        <v>0.70414795918367312</v>
      </c>
      <c r="AP16" s="2">
        <f>AVERAGE(AP2:AP15)</f>
        <v>1.0614275510204083</v>
      </c>
      <c r="AQ16" s="12">
        <f>AVERAGE(AQ2:AQ15)</f>
        <v>1.4082959183673462</v>
      </c>
      <c r="AR16" s="12">
        <f>AVERAGE(AR2:AR15)</f>
        <v>1.1324674524982405</v>
      </c>
      <c r="AS16" s="5">
        <f>AVERAGE(AS2:AS15)</f>
        <v>1.0704147959183674</v>
      </c>
    </row>
    <row r="17" spans="1:45" ht="15" customHeight="1" x14ac:dyDescent="0.25">
      <c r="A17" s="6" t="s">
        <v>36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 t="s">
        <v>34</v>
      </c>
      <c r="P17" s="74">
        <f>MEDIAN(P2,P15)</f>
        <v>0.52</v>
      </c>
      <c r="Q17" s="74">
        <f>MEDIAN(Q2,Q15)</f>
        <v>0.20134680134680136</v>
      </c>
      <c r="R17" s="74">
        <f>MEDIAN(R2,R15)</f>
        <v>47.996632996632997</v>
      </c>
      <c r="S17" s="74">
        <f>MEDIAN(S2,S15)</f>
        <v>44.19</v>
      </c>
      <c r="T17" s="74">
        <f>MEDIAN(T2,T15)</f>
        <v>0.11531986531986531</v>
      </c>
      <c r="U17" s="74">
        <f>MEDIAN(U2,U15)</f>
        <v>7.053872053872054E-2</v>
      </c>
      <c r="V17" s="74">
        <f>MEDIAN(V2,V15)</f>
        <v>5.2188552188552187E-2</v>
      </c>
      <c r="W17" s="74">
        <f>MEDIAN(W2,W15)</f>
        <v>0.67500000000000004</v>
      </c>
      <c r="X17" s="74">
        <f>MEDIAN(X2,X15)</f>
        <v>0.01</v>
      </c>
      <c r="Y17" s="75"/>
      <c r="Z17" s="74">
        <f>MEDIAN(Z2,Z15)</f>
        <v>2.31</v>
      </c>
      <c r="AA17" s="74">
        <f>MEDIAN(AA2,AA15)</f>
        <v>0.27500000000000002</v>
      </c>
      <c r="AB17" s="74">
        <f>MEDIAN(AB2,AB15)</f>
        <v>0.94500000000000006</v>
      </c>
      <c r="AC17" s="74">
        <f>MEDIAN(AC2,AC15)</f>
        <v>36.524999999999999</v>
      </c>
      <c r="AD17" s="74">
        <f>MEDIAN(AD2,AD15)</f>
        <v>66.400000000000006</v>
      </c>
      <c r="AE17" s="1"/>
      <c r="AF17" s="1"/>
      <c r="AG17" s="79">
        <f>MEDIAN(AG2:AG15)</f>
        <v>1.1279178442545108</v>
      </c>
      <c r="AH17" s="66">
        <f>MEDIAN(AH2:AH15)</f>
        <v>1.1263065906932574</v>
      </c>
      <c r="AI17" s="62">
        <f>MEDIAN(AI2:AI15)</f>
        <v>1.2281153133903133</v>
      </c>
      <c r="AJ17" s="23">
        <f>MEDIAN(AJ2:AJ15)</f>
        <v>1.1251416666666667</v>
      </c>
      <c r="AK17" s="20">
        <f>MEDIAN(AK2:AK15)</f>
        <v>1.0594889937106919</v>
      </c>
      <c r="AL17" s="18">
        <f>MEDIAN(AL2:AL15)</f>
        <v>1.1230583333333333</v>
      </c>
      <c r="AM17" s="15">
        <f>MEDIAN(AM2:AM15)</f>
        <v>1.1047250000000002</v>
      </c>
      <c r="AN17" s="68">
        <f>MEDIAN(AN2:AN15)</f>
        <v>1.2722325735992404</v>
      </c>
      <c r="AO17" s="10">
        <f>MEDIAN(AO2:AO15)</f>
        <v>0.3965000000000003</v>
      </c>
      <c r="AP17" s="2">
        <f>MEDIAN(AP2:AP15)</f>
        <v>1.0879000000000001</v>
      </c>
      <c r="AQ17" s="12">
        <f>MEDIAN(AQ2:AQ15)</f>
        <v>0.79300000000000059</v>
      </c>
      <c r="AR17" s="12">
        <f>MEDIAN(AR2:AR15)</f>
        <v>1.0869827586206897</v>
      </c>
      <c r="AS17" s="5">
        <f>MEDIAN(AS2:AS15)</f>
        <v>1.03965</v>
      </c>
    </row>
    <row r="18" spans="1:45" ht="15" customHeight="1" x14ac:dyDescent="0.25">
      <c r="A18" s="1" t="s">
        <v>37</v>
      </c>
      <c r="AF18" s="21" t="s">
        <v>59</v>
      </c>
      <c r="AG18" s="78"/>
    </row>
    <row r="19" spans="1:45" ht="15" customHeight="1" x14ac:dyDescent="0.25">
      <c r="A19" s="7" t="s">
        <v>41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68</v>
      </c>
      <c r="O19" s="1"/>
      <c r="P19" s="1">
        <v>0.82</v>
      </c>
      <c r="Q19" s="1">
        <v>0.15</v>
      </c>
      <c r="R19" s="1"/>
      <c r="S19" s="1"/>
      <c r="T19" s="1">
        <v>0.2</v>
      </c>
      <c r="U19" s="81"/>
      <c r="V19" s="81"/>
      <c r="W19" s="1">
        <v>0.54</v>
      </c>
      <c r="X19" s="1">
        <v>0.09</v>
      </c>
      <c r="Y19" s="1">
        <v>2.9000000000000001E-2</v>
      </c>
      <c r="Z19" s="1"/>
      <c r="AA19" s="1">
        <v>0.04</v>
      </c>
      <c r="AB19" s="1"/>
      <c r="AC19" s="1"/>
      <c r="AD19" s="1">
        <v>82.3</v>
      </c>
      <c r="AE19" s="1"/>
      <c r="AF19" s="1">
        <v>1.32</v>
      </c>
      <c r="AG19" s="73">
        <f>(((P19-Q19+1.2*Q19)/2)+(T19/3)+0.25*((U19/4)+V19)-(W19-0.1*X19+0.5*Y19)+(AD19/250)+(AA19/50))+1</f>
        <v>1.2761666666666667</v>
      </c>
      <c r="AH19" s="66">
        <f>(((P19-Q19+1.25*Q19)/2)+(T19/3)-(W19-0.2*X19+0.5*Y19)+(AD19/250)+(AA19/20))+1</f>
        <v>1.2901166666666666</v>
      </c>
      <c r="AI19" s="62">
        <f>(((P19-Q19+1.25*Q19+T19)/2)+(1-(W19-0.25*X19+0.5*Y19))+(AD19/200)+(AA19/18))</f>
        <v>1.4104722222222219</v>
      </c>
      <c r="AJ19" s="23">
        <f>((P19/2)+(1-(W19-0.25*X19+0.5*Y19))+(AD19/200)+(AA19/18))</f>
        <v>1.291722222222222</v>
      </c>
      <c r="AK19" s="20">
        <f>(((P19/2)+(1-W19)+(AD19/200)+(AA19/9)))/1.06</f>
        <v>1.2131551362683437</v>
      </c>
      <c r="AL19" s="18">
        <f>((P19/2)+(1-W19)+(AD19/200)+(AA19/9))</f>
        <v>1.2859444444444443</v>
      </c>
      <c r="AM19" s="15">
        <f>((P19/2)+(1-W19)+(AD19/200))</f>
        <v>1.2814999999999999</v>
      </c>
      <c r="AN19" s="68">
        <f>(((P19-Q19+1.25*Q19)/2)+(T19/3)-(W19-0.2*X19+0.5*Y19)+(AD19/250)+(AA19/18))*10</f>
        <v>2.9033888888888888</v>
      </c>
    </row>
    <row r="20" spans="1:45" ht="15" customHeight="1" x14ac:dyDescent="0.25">
      <c r="A20" s="7" t="s">
        <v>43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69</v>
      </c>
      <c r="O20" s="1"/>
      <c r="P20" s="1">
        <v>0.81</v>
      </c>
      <c r="Q20" s="1">
        <v>0.14000000000000001</v>
      </c>
      <c r="R20" s="1"/>
      <c r="S20" s="1"/>
      <c r="T20" s="1">
        <v>0.2</v>
      </c>
      <c r="U20" s="1"/>
      <c r="V20" s="1"/>
      <c r="W20" s="1">
        <v>0.56000000000000005</v>
      </c>
      <c r="X20" s="1">
        <v>0.12</v>
      </c>
      <c r="Y20" s="1">
        <v>4.4999999999999998E-2</v>
      </c>
      <c r="Z20" s="1"/>
      <c r="AA20" s="1">
        <v>0.05</v>
      </c>
      <c r="AB20" s="1"/>
      <c r="AC20" s="1"/>
      <c r="AD20" s="1">
        <v>81.5</v>
      </c>
      <c r="AE20" s="1"/>
      <c r="AF20" s="1">
        <v>1.29</v>
      </c>
      <c r="AG20" s="73">
        <f t="shared" ref="AG20:AG36" si="1">(((P20-Q20+1.2*Q20)/2)+(T20/3)+0.25*((U20/4)+V20)-(W20-0.1*X20+0.5*Y20)+(AD20/250)+(AA20/50))+1</f>
        <v>1.2421666666666666</v>
      </c>
      <c r="AH20" s="66">
        <f>(((P20-Q20+1.25*Q20)/2)+(T20/3)-(W20-0.2*X20+0.5*Y20)+(AD20/250)+(AA20/20))+1</f>
        <v>1.2591666666666668</v>
      </c>
      <c r="AI20" s="62">
        <f>(((P20-Q20+1.25*Q20+T20)/2)+(1-(W20-0.25*X20+0.5*Y20))+(AD20/200)+(AA20/18))</f>
        <v>1.3802777777777777</v>
      </c>
      <c r="AJ20" s="23">
        <f>((P20/2)+(1-(W20-0.25*X20+0.5*Y20))+(AD20/200)+(AA20/18))</f>
        <v>1.2627777777777778</v>
      </c>
      <c r="AK20" s="20">
        <f>(((P20/2)+(1-W20)+(AD20/200)+(AA20/9)))/1.06</f>
        <v>1.186844863731656</v>
      </c>
      <c r="AL20" s="18">
        <f>((P20/2)+(1-W20)+(AD20/200)+(AA20/9))</f>
        <v>1.2580555555555555</v>
      </c>
      <c r="AM20" s="15">
        <f>((P20/2)+(1-W20)+(AD20/200))</f>
        <v>1.2524999999999999</v>
      </c>
      <c r="AN20" s="68">
        <f>(((P20-Q20+1.25*Q20)/2)+(T20/3)-(W20-0.2*X20+0.5*Y20)+(AD20/250)+(AA20/18))*10</f>
        <v>2.594444444444445</v>
      </c>
    </row>
    <row r="21" spans="1:45" ht="15" customHeight="1" x14ac:dyDescent="0.25">
      <c r="A21" s="13" t="s">
        <v>48</v>
      </c>
      <c r="N21" t="s">
        <v>57</v>
      </c>
      <c r="P21">
        <v>0.81</v>
      </c>
      <c r="Q21">
        <v>0.09</v>
      </c>
      <c r="T21">
        <v>0.21</v>
      </c>
      <c r="W21">
        <v>0.69</v>
      </c>
      <c r="X21">
        <v>0.15</v>
      </c>
      <c r="Y21" s="1">
        <v>3.5000000000000003E-2</v>
      </c>
      <c r="AA21">
        <v>0.05</v>
      </c>
      <c r="AD21">
        <v>91.1</v>
      </c>
      <c r="AF21">
        <v>1.2</v>
      </c>
      <c r="AG21" s="73">
        <f t="shared" si="1"/>
        <v>1.1569000000000003</v>
      </c>
      <c r="AH21" s="66">
        <f>(((P21-Q21+1.25*Q21)/2)+(T21/3)-(W21-0.2*X21+0.5*Y21)+(AD21/250)+(AA21/20))+1</f>
        <v>1.1756500000000001</v>
      </c>
      <c r="AI21" s="62">
        <f>(((P21-Q21+1.25*Q21+T21)/2)+(1-(W21-0.25*X21+0.5*Y21))+(AD21/200)+(AA21/18))</f>
        <v>1.3095277777777778</v>
      </c>
      <c r="AJ21" s="23">
        <f>((P21/2)+(1-(W21-0.25*X21+0.5*Y21))+(AD21/200)+(AA21/18))</f>
        <v>1.1932777777777779</v>
      </c>
      <c r="AK21" s="20">
        <f>(((P21/2)+(1-W21)+(AD21/200)+(AA21/9)))/1.06</f>
        <v>1.1094863731656184</v>
      </c>
      <c r="AL21" s="18">
        <f>((P21/2)+(1-W21)+(AD21/200)+(AA21/9))</f>
        <v>1.1760555555555556</v>
      </c>
      <c r="AM21" s="15">
        <f>((P21/2)+(1-W21)+(AD21/200))</f>
        <v>1.1705000000000001</v>
      </c>
      <c r="AN21" s="68">
        <f>(((P21-Q21+1.25*Q21)/2)+(T21/3)-(W21-0.2*X21+0.5*Y21)+(AD21/250)+(AA21/18))*10</f>
        <v>1.7592777777777791</v>
      </c>
    </row>
    <row r="22" spans="1:45" ht="15" customHeight="1" x14ac:dyDescent="0.25">
      <c r="A22" s="16" t="s">
        <v>53</v>
      </c>
      <c r="N22" t="s">
        <v>70</v>
      </c>
      <c r="P22">
        <v>0.69</v>
      </c>
      <c r="Q22">
        <v>0.1</v>
      </c>
      <c r="T22">
        <v>0.17</v>
      </c>
      <c r="W22">
        <v>0.63</v>
      </c>
      <c r="X22">
        <v>0.11</v>
      </c>
      <c r="Y22" s="1">
        <v>4.8000000000000001E-2</v>
      </c>
      <c r="AA22">
        <v>0.03</v>
      </c>
      <c r="AD22">
        <v>76.2</v>
      </c>
      <c r="AF22">
        <v>1.1000000000000001</v>
      </c>
      <c r="AG22" s="73">
        <f t="shared" si="1"/>
        <v>1.0740666666666667</v>
      </c>
      <c r="AH22" s="66">
        <f>(((P22-Q22+1.25*Q22)/2)+(T22/3)-(W22-0.2*X22+0.5*Y22)+(AD22/250)+(AA22/20))+1</f>
        <v>1.0884666666666667</v>
      </c>
      <c r="AI22" s="62">
        <f>(((P22-Q22+1.25*Q22+T22)/2)+(1-(W22-0.25*X22+0.5*Y22))+(AD22/200)+(AA22/18))</f>
        <v>1.1986666666666668</v>
      </c>
      <c r="AJ22" s="23">
        <f>((P22/2)+(1-(W22-0.25*X22+0.5*Y22))+(AD22/200)+(AA22/18))</f>
        <v>1.1011666666666666</v>
      </c>
      <c r="AK22" s="20">
        <f>(((P22/2)+(1-W22)+(AD22/200)+(AA22/9)))/1.06</f>
        <v>1.0371069182389938</v>
      </c>
      <c r="AL22" s="18">
        <f>((P22/2)+(1-W22)+(AD22/200)+(AA22/9))</f>
        <v>1.0993333333333335</v>
      </c>
      <c r="AM22" s="15">
        <f>((P22/2)+(1-W22)+(AD22/200))</f>
        <v>1.0960000000000001</v>
      </c>
      <c r="AN22" s="68">
        <f>(((P22-Q22+1.25*Q22)/2)+(T22/3)-(W22-0.2*X22+0.5*Y22)+(AD22/250)+(AA22/18))*10</f>
        <v>0.88633333333333353</v>
      </c>
    </row>
    <row r="23" spans="1:45" ht="15" customHeight="1" x14ac:dyDescent="0.25">
      <c r="A23" s="16" t="s">
        <v>56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58</v>
      </c>
      <c r="O23" s="1"/>
      <c r="P23" s="1">
        <v>0.6</v>
      </c>
      <c r="Q23" s="1">
        <v>0.09</v>
      </c>
      <c r="R23" s="1"/>
      <c r="S23" s="1"/>
      <c r="T23" s="1">
        <v>0.13</v>
      </c>
      <c r="U23" s="1"/>
      <c r="V23" s="1"/>
      <c r="W23" s="1">
        <v>0.65</v>
      </c>
      <c r="X23" s="1">
        <v>0.14000000000000001</v>
      </c>
      <c r="Y23" s="1">
        <v>7.0000000000000007E-2</v>
      </c>
      <c r="Z23" s="1"/>
      <c r="AA23" s="1">
        <v>0.03</v>
      </c>
      <c r="AB23" s="1"/>
      <c r="AC23" s="1"/>
      <c r="AD23" s="1">
        <v>63.9</v>
      </c>
      <c r="AE23" s="1"/>
      <c r="AF23" s="1">
        <v>0.94</v>
      </c>
      <c r="AG23" s="73">
        <f t="shared" si="1"/>
        <v>0.93753333333333333</v>
      </c>
      <c r="AH23" s="66">
        <f>(((P23-Q23+1.25*Q23)/2)+(T23/3)-(W23-0.2*X23+0.5*Y23)+(AD23/250)+(AA23/20))+1</f>
        <v>0.95468333333333333</v>
      </c>
      <c r="AI23" s="62">
        <f>(((P23-Q23+1.25*Q23+T23)/2)+(1-(W23-0.25*X23+0.5*Y23))+(AD23/200)+(AA23/18))</f>
        <v>1.0474166666666667</v>
      </c>
      <c r="AJ23" s="23">
        <f>((P23/2)+(1-(W23-0.25*X23+0.5*Y23))+(AD23/200)+(AA23/18))</f>
        <v>0.97116666666666662</v>
      </c>
      <c r="AK23" s="20">
        <f>(((P23/2)+(1-W23)+(AD23/200)+(AA23/9)))/1.06</f>
        <v>0.91776729559748416</v>
      </c>
      <c r="AL23" s="18">
        <f>((P23/2)+(1-W23)+(AD23/200)+(AA23/9))</f>
        <v>0.97283333333333322</v>
      </c>
      <c r="AM23" s="15">
        <f>((P23/2)+(1-W23)+(AD23/200))</f>
        <v>0.96949999999999992</v>
      </c>
      <c r="AN23" s="68">
        <f>(((P23-Q23+1.25*Q23)/2)+(T23/3)-(W23-0.2*X23+0.5*Y23)+(AD23/250)+(AA23/18))*10</f>
        <v>-0.45150000000000012</v>
      </c>
    </row>
    <row r="24" spans="1:45" ht="15" customHeight="1" x14ac:dyDescent="0.25">
      <c r="A24" s="24" t="s">
        <v>71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 t="s">
        <v>83</v>
      </c>
      <c r="P24" s="1">
        <v>2</v>
      </c>
      <c r="Q24" s="1">
        <v>1</v>
      </c>
      <c r="R24" s="1"/>
      <c r="S24" s="1"/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/>
      <c r="AA24" s="1">
        <v>0</v>
      </c>
      <c r="AB24" s="1"/>
      <c r="AC24" s="1"/>
      <c r="AD24" s="1">
        <v>200</v>
      </c>
      <c r="AE24" s="1"/>
      <c r="AF24" s="1"/>
      <c r="AG24" s="73">
        <f t="shared" si="1"/>
        <v>3.2958333333333334</v>
      </c>
      <c r="AH24" s="66">
        <f>(((P24-Q24+1.25*Q24)/2)+(T24/3)-(W24-0.2*X24+0.5*Y24)+(AD24/250)+(AA24/20))+1</f>
        <v>3.2583333333333333</v>
      </c>
      <c r="AI24" s="62">
        <f>(((P24-Q24+1.25*Q24+T24)/2)+(1-(W24-0.25*X24+0.5*Y24))+(AD24/200)+(AA24/18))</f>
        <v>3.625</v>
      </c>
      <c r="AJ24" s="23">
        <f>((P24/2)+(1-(W24-0.25*X24+0.5*Y24))+(AD24/200)+(AA24/18))</f>
        <v>3</v>
      </c>
      <c r="AK24" s="20">
        <f>(((P24/2)+(1-W24)+(AD24/200)+(AA24/9)))/1.06</f>
        <v>2.8301886792452828</v>
      </c>
      <c r="AL24" s="18">
        <f>((P24/2)+(1-W24)+(AD24/200)+(AA24/9))</f>
        <v>3</v>
      </c>
      <c r="AM24" s="15">
        <f>((P24/2)+(1-W24)+(AD24/200))</f>
        <v>3</v>
      </c>
      <c r="AN24" s="68">
        <f>(((P24-Q24+1.25*Q24)/2)+(T24/3)-(W24-0.2*X24+0.5*Y24)+(AD24/250)+(AA24/18))*10</f>
        <v>22.583333333333332</v>
      </c>
    </row>
    <row r="25" spans="1:45" ht="15" customHeight="1" x14ac:dyDescent="0.25">
      <c r="A25" s="63" t="s">
        <v>79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 t="s">
        <v>82</v>
      </c>
      <c r="P25" s="1">
        <v>0</v>
      </c>
      <c r="Q25" s="1">
        <v>0</v>
      </c>
      <c r="R25" s="1"/>
      <c r="S25" s="1"/>
      <c r="T25" s="1">
        <v>0</v>
      </c>
      <c r="U25" s="1">
        <v>0</v>
      </c>
      <c r="V25" s="1">
        <v>0</v>
      </c>
      <c r="W25" s="1">
        <v>1</v>
      </c>
      <c r="X25" s="1">
        <v>0</v>
      </c>
      <c r="Y25" s="1">
        <v>0</v>
      </c>
      <c r="Z25" s="1"/>
      <c r="AA25" s="1">
        <v>0</v>
      </c>
      <c r="AB25" s="1"/>
      <c r="AC25" s="1"/>
      <c r="AD25" s="1">
        <v>0</v>
      </c>
      <c r="AE25" s="1"/>
      <c r="AF25" s="1"/>
      <c r="AG25" s="73">
        <f t="shared" si="1"/>
        <v>0</v>
      </c>
      <c r="AH25" s="66">
        <f>(((P25-Q25+1.25*Q25)/2)+(T25/3)-(W25-0.2*X25+0.5*Y25)+(AD25/250)+(AA25/20))+1</f>
        <v>0</v>
      </c>
      <c r="AI25" s="62">
        <f>(((P25-Q25+1.25*Q25+T25)/2)+(1-(W25-0.25*X25+0.5*Y25))+(AD25/200)+(AA25/18))</f>
        <v>0</v>
      </c>
      <c r="AJ25" s="23">
        <f>((P25/2)+(1-(W25-0.25*X25+0.5*Y25))+(AD25/200)+(AA25/18))</f>
        <v>0</v>
      </c>
      <c r="AK25" s="20">
        <f>(((P25/2)+(1-W25)+(AD25/200)+(AA25/9)))/1.06</f>
        <v>0</v>
      </c>
      <c r="AL25" s="18">
        <f>((P25/2)+(1-W25)+(AD25/200)+(AA25/9))</f>
        <v>0</v>
      </c>
      <c r="AM25" s="15">
        <f>((P25/2)+(1-W25)+(AD25/200))</f>
        <v>0</v>
      </c>
      <c r="AN25" s="68">
        <f>(((P25-Q25+1.25*Q25)/2)+(T25/3)-(W25-0.2*X25+0.5*Y25)+(AD25/250)+(AA25/18))*10</f>
        <v>-10</v>
      </c>
    </row>
    <row r="26" spans="1:45" ht="15" customHeight="1" x14ac:dyDescent="0.25">
      <c r="A26" s="70" t="s">
        <v>87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1</v>
      </c>
      <c r="Q26" s="1">
        <v>1</v>
      </c>
      <c r="R26" s="1"/>
      <c r="S26" s="1"/>
      <c r="T26" s="1">
        <v>0</v>
      </c>
      <c r="U26" s="1"/>
      <c r="V26" s="1"/>
      <c r="W26" s="1">
        <v>1</v>
      </c>
      <c r="X26" s="1">
        <v>1</v>
      </c>
      <c r="Y26" s="1">
        <v>0</v>
      </c>
      <c r="Z26" s="1"/>
      <c r="AA26" s="1">
        <v>0</v>
      </c>
      <c r="AB26" s="1"/>
      <c r="AC26" s="1"/>
      <c r="AD26" s="1">
        <v>100</v>
      </c>
      <c r="AE26" s="1"/>
      <c r="AF26" s="1"/>
      <c r="AG26" s="73">
        <f t="shared" si="1"/>
        <v>1.1000000000000001</v>
      </c>
      <c r="AH26" s="66">
        <f>(((P26-Q26+1.25*Q26)/2)+(T26/3)-(W26-0.2*X26+0.5*Y26)+(AD26/250)+(AA26/20))+1</f>
        <v>1.2250000000000001</v>
      </c>
      <c r="AI26" s="62">
        <f>(((P26-Q26+1.25*Q26+T26)/2)+(1-(W26-0.25*X26+0.5*Y26))+(AD26/200)+(AA26/18))</f>
        <v>1.375</v>
      </c>
      <c r="AJ26" s="23">
        <f>((P26/2)+(1-(W26-0.25*X26+0.5*Y26))+(AD26/200)+(AA26/18))</f>
        <v>1.25</v>
      </c>
      <c r="AK26" s="20">
        <f>(((P26/2)+(1-W26)+(AD26/200)+(AA26/9)))/1.06</f>
        <v>0.94339622641509424</v>
      </c>
      <c r="AL26" s="18">
        <f>((P26/2)+(1-W26)+(AD26/200)+(AA26/9))</f>
        <v>1</v>
      </c>
      <c r="AM26" s="15">
        <f>((P26/2)+(1-W26)+(AD26/200))</f>
        <v>1</v>
      </c>
      <c r="AN26" s="68">
        <f>(((P26-Q26+1.25*Q26)/2)+(T26/3)-(W26-0.2*X26+0.5*Y26)+(AD26/250)+(AA26/18))*10</f>
        <v>2.25</v>
      </c>
    </row>
    <row r="27" spans="1:45" ht="15" customHeight="1" x14ac:dyDescent="0.25">
      <c r="A27" s="70" t="s">
        <v>88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0</v>
      </c>
      <c r="Q27" s="1">
        <v>0</v>
      </c>
      <c r="R27" s="1"/>
      <c r="S27" s="1"/>
      <c r="T27" s="1">
        <v>0</v>
      </c>
      <c r="U27" s="1"/>
      <c r="V27" s="1"/>
      <c r="W27" s="1">
        <v>1</v>
      </c>
      <c r="X27" s="1">
        <v>1</v>
      </c>
      <c r="Y27" s="1">
        <v>0</v>
      </c>
      <c r="Z27" s="1"/>
      <c r="AA27" s="1">
        <v>0</v>
      </c>
      <c r="AB27" s="1"/>
      <c r="AC27" s="1"/>
      <c r="AD27" s="1">
        <v>99</v>
      </c>
      <c r="AE27" s="1"/>
      <c r="AF27" s="1"/>
      <c r="AG27" s="73">
        <f t="shared" si="1"/>
        <v>0.496</v>
      </c>
      <c r="AH27" s="66">
        <f>(((P27-Q27+1.25*Q27)/2)+(T27/3)-(W27-0.2*X27+0.5*Y27)+(AD27/250)+(AA27/20))+1</f>
        <v>0.59599999999999997</v>
      </c>
      <c r="AI27" s="62">
        <f>(((P27-Q27+1.25*Q27+T27)/2)+(1-(W27-0.25*X27+0.5*Y27))+(AD27/200)+(AA27/18))</f>
        <v>0.745</v>
      </c>
      <c r="AJ27" s="23">
        <f>((P27/2)+(1-(W27-0.25*X27+0.5*Y27))+(AD27/200)+(AA27/18))</f>
        <v>0.745</v>
      </c>
      <c r="AK27" s="20">
        <f>(((P27/2)+(1-W27)+(AD27/200)+(AA27/9)))/1.06</f>
        <v>0.46698113207547165</v>
      </c>
      <c r="AL27" s="18">
        <f>((P27/2)+(1-W27)+(AD27/200)+(AA27/9))</f>
        <v>0.495</v>
      </c>
      <c r="AM27" s="15">
        <f>((P27/2)+(1-W27)+(AD27/200))</f>
        <v>0.495</v>
      </c>
      <c r="AN27" s="68">
        <f>(((P27-Q27+1.25*Q27)/2)+(T27/3)-(W27-0.2*X27+0.5*Y27)+(AD27/250)+(AA27/18))*10</f>
        <v>-4.04</v>
      </c>
    </row>
    <row r="28" spans="1:45" ht="15" customHeight="1" x14ac:dyDescent="0.25">
      <c r="A28" s="80" t="s">
        <v>98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1</v>
      </c>
      <c r="Q28" s="1">
        <v>1</v>
      </c>
      <c r="R28" s="1"/>
      <c r="S28" s="1"/>
      <c r="T28" s="1">
        <v>0</v>
      </c>
      <c r="U28" s="1"/>
      <c r="V28" s="1"/>
      <c r="W28" s="1">
        <v>1</v>
      </c>
      <c r="X28" s="1">
        <v>1</v>
      </c>
      <c r="Y28" s="1">
        <v>0</v>
      </c>
      <c r="Z28" s="1"/>
      <c r="AA28" s="1">
        <v>0</v>
      </c>
      <c r="AB28" s="1"/>
      <c r="AC28" s="1"/>
      <c r="AD28" s="1">
        <v>150</v>
      </c>
      <c r="AE28" s="1"/>
      <c r="AF28" s="1"/>
      <c r="AG28" s="73">
        <f t="shared" si="1"/>
        <v>1.2999999999999998</v>
      </c>
      <c r="AH28" s="66">
        <f>(((P28-Q28+1.25*Q28)/2)+(T28/3)-(W28-0.2*X28+0.5*Y28)+(AD28/250)+(AA28/20))+1</f>
        <v>1.4249999999999998</v>
      </c>
      <c r="AI28" s="62">
        <f>(((P28-Q28+1.25*Q28+T28)/2)+(1-(W28-0.25*X28+0.5*Y28))+(AD28/200)+(AA28/18))</f>
        <v>1.625</v>
      </c>
      <c r="AJ28" s="23">
        <f>((P28/2)+(1-(W28-0.25*X28+0.5*Y28))+(AD28/200)+(AA28/18))</f>
        <v>1.5</v>
      </c>
      <c r="AK28" s="20">
        <f>(((P28/2)+(1-W28)+(AD28/200)+(AA28/9)))/1.06</f>
        <v>1.1792452830188678</v>
      </c>
      <c r="AL28" s="18">
        <f>((P28/2)+(1-W28)+(AD28/200)+(AA28/9))</f>
        <v>1.25</v>
      </c>
      <c r="AM28" s="15">
        <f>((P28/2)+(1-W28)+(AD28/200))</f>
        <v>1.25</v>
      </c>
      <c r="AN28" s="68">
        <f>(((P28-Q28+1.25*Q28)/2)+(T28/3)-(W28-0.2*X28+0.5*Y28)+(AD28/250)+(AA28/18))*10</f>
        <v>4.2499999999999991</v>
      </c>
    </row>
    <row r="29" spans="1:45" ht="15" customHeight="1" x14ac:dyDescent="0.25">
      <c r="P29">
        <v>1</v>
      </c>
      <c r="Q29">
        <v>0</v>
      </c>
      <c r="T29">
        <v>0</v>
      </c>
      <c r="W29">
        <v>1</v>
      </c>
      <c r="X29">
        <v>0</v>
      </c>
      <c r="Y29">
        <v>0</v>
      </c>
      <c r="AA29">
        <v>0</v>
      </c>
      <c r="AD29">
        <v>100</v>
      </c>
      <c r="AG29" s="73">
        <f t="shared" si="1"/>
        <v>0.9</v>
      </c>
      <c r="AH29" s="66">
        <f>(((P29-Q29+1.25*Q29)/2)+(T29/3)-(W29-0.2*X29+0.5*Y29)+(AD29/250)+(AA29/20))+1</f>
        <v>0.9</v>
      </c>
      <c r="AI29" s="62">
        <f>(((P29-Q29+1.25*Q29+T29)/2)+(1-(W29-0.25*X29+0.5*Y29))+(AD29/200)+(AA29/18))</f>
        <v>1</v>
      </c>
      <c r="AJ29" s="23">
        <f>((P29/2)+(1-(W29-0.25*X29+0.5*Y29))+(AD29/200)+(AA29/18))</f>
        <v>1</v>
      </c>
      <c r="AK29" s="20">
        <f>(((P29/2)+(1-W29)+(AD29/200)+(AA29/9)))/1.06</f>
        <v>0.94339622641509424</v>
      </c>
      <c r="AL29" s="18">
        <f>((P29/2)+(1-W29)+(AD29/200)+(AA29/9))</f>
        <v>1</v>
      </c>
      <c r="AM29" s="15">
        <f>((P29/2)+(1-W29)+(AD29/200))</f>
        <v>1</v>
      </c>
      <c r="AN29" s="68">
        <f>(((P29-Q29+1.25*Q29)/2)+(T29/3)-(W29-0.2*X29+0.5*Y29)+(AD29/250)+(AA29/18))*10</f>
        <v>-0.99999999999999978</v>
      </c>
    </row>
    <row r="30" spans="1:45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>
        <v>2</v>
      </c>
      <c r="Q30" s="1">
        <v>0</v>
      </c>
      <c r="R30" s="1"/>
      <c r="S30" s="1"/>
      <c r="T30" s="1">
        <v>1</v>
      </c>
      <c r="U30" s="1">
        <v>0</v>
      </c>
      <c r="V30" s="1">
        <v>1</v>
      </c>
      <c r="W30" s="1">
        <v>0</v>
      </c>
      <c r="X30" s="1">
        <v>0</v>
      </c>
      <c r="Y30" s="1">
        <v>0</v>
      </c>
      <c r="Z30" s="1"/>
      <c r="AA30" s="1">
        <v>0</v>
      </c>
      <c r="AB30" s="1"/>
      <c r="AC30" s="1"/>
      <c r="AD30" s="1">
        <v>200</v>
      </c>
      <c r="AE30" s="1"/>
      <c r="AF30" s="1"/>
      <c r="AG30" s="73">
        <f t="shared" si="1"/>
        <v>3.3833333333333333</v>
      </c>
      <c r="AH30" s="66">
        <f>(((P30-Q30+1.25*Q30)/2)+(T30/3)-(W30-0.2*X30+0.5*Y30)+(AD30/250)+(AA30/20))+1</f>
        <v>3.1333333333333333</v>
      </c>
      <c r="AI30" s="62">
        <f>(((P30-Q30+1.25*Q30+T30)/2)+(1-(W30-0.25*X30+0.5*Y30))+(AD30/200)+(AA30/18))</f>
        <v>3.5</v>
      </c>
      <c r="AJ30" s="23">
        <f>((P30/2)+(1-(W30-0.25*X30+0.5*Y30))+(AD30/200)+(AA30/18))</f>
        <v>3</v>
      </c>
      <c r="AK30" s="20">
        <f>(((P30/2)+(1-W30)+(AD30/200)+(AA30/9)))/1.06</f>
        <v>2.8301886792452828</v>
      </c>
      <c r="AL30" s="18">
        <f>((P30/2)+(1-W30)+(AD30/200)+(AA30/9))</f>
        <v>3</v>
      </c>
      <c r="AM30" s="15">
        <f>((P30/2)+(1-W30)+(AD30/200))</f>
        <v>3</v>
      </c>
      <c r="AN30" s="68">
        <f>(((P30-Q30+1.25*Q30)/2)+(T30/3)-(W30-0.2*X30+0.5*Y30)+(AD30/250)+(AA30/18))*10</f>
        <v>21.333333333333332</v>
      </c>
    </row>
    <row r="31" spans="1:45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>
        <v>2</v>
      </c>
      <c r="Q31" s="1">
        <v>1</v>
      </c>
      <c r="R31" s="1"/>
      <c r="S31" s="1"/>
      <c r="T31" s="1">
        <v>1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/>
      <c r="AA31" s="1">
        <v>0</v>
      </c>
      <c r="AB31" s="1"/>
      <c r="AC31" s="1"/>
      <c r="AD31" s="1">
        <v>200</v>
      </c>
      <c r="AE31" s="1"/>
      <c r="AF31" s="1"/>
      <c r="AG31" s="73">
        <f t="shared" si="1"/>
        <v>3.2333333333333334</v>
      </c>
      <c r="AH31" s="66">
        <f>(((P31-Q31+1.25*Q31)/2)+(T31/3)-(W31-0.2*X31+0.5*Y31)+(AD31/250)+(AA31/20))+1</f>
        <v>3.2583333333333333</v>
      </c>
      <c r="AI31" s="62">
        <f>(((P31-Q31+1.25*Q31+T31)/2)+(1-(W31-0.25*X31+0.5*Y31))+(AD31/200)+(AA31/18))</f>
        <v>3.625</v>
      </c>
      <c r="AJ31" s="23">
        <f>((P31/2)+(1-(W31-0.25*X31+0.5*Y31))+(AD31/200)+(AA31/18))</f>
        <v>3</v>
      </c>
      <c r="AK31" s="20">
        <f>(((P31/2)+(1-W31)+(AD31/200)+(AA31/9)))/1.06</f>
        <v>2.8301886792452828</v>
      </c>
      <c r="AL31" s="18">
        <f>((P31/2)+(1-W31)+(AD31/200)+(AA31/9))</f>
        <v>3</v>
      </c>
      <c r="AM31" s="15">
        <f>((P31/2)+(1-W31)+(AD31/200))</f>
        <v>3</v>
      </c>
      <c r="AN31" s="68">
        <f>(((P31-Q31+1.25*Q31)/2)+(T31/3)-(W31-0.2*X31+0.5*Y31)+(AD31/250)+(AA31/18))*10</f>
        <v>22.583333333333332</v>
      </c>
    </row>
    <row r="32" spans="1:45" ht="15" customHeight="1" x14ac:dyDescent="0.25">
      <c r="A32" s="1"/>
      <c r="P32">
        <v>1</v>
      </c>
      <c r="Q32">
        <v>0</v>
      </c>
      <c r="T32">
        <v>0</v>
      </c>
      <c r="U32">
        <v>1</v>
      </c>
      <c r="V32">
        <v>0</v>
      </c>
      <c r="W32">
        <v>1</v>
      </c>
      <c r="X32">
        <v>0</v>
      </c>
      <c r="Y32">
        <v>0</v>
      </c>
      <c r="AA32">
        <v>0</v>
      </c>
      <c r="AD32">
        <v>100</v>
      </c>
      <c r="AG32" s="73">
        <f t="shared" si="1"/>
        <v>0.96250000000000002</v>
      </c>
      <c r="AH32" s="66">
        <f>(((P32-Q32+1.25*Q32)/2)+(T32/3)-(W32-0.2*X32+0.5*Y32)+(AD32/250)+(AA32/20))+1</f>
        <v>0.9</v>
      </c>
      <c r="AI32" s="62">
        <f>(((P32-Q32+1.25*Q32+T32)/2)+(1-(W32-0.25*X32+0.5*Y32))+(AD32/200)+(AA32/18))</f>
        <v>1</v>
      </c>
      <c r="AJ32" s="23">
        <f>((P32/2)+(1-(W32-0.25*X32+0.5*Y32))+(AD32/200)+(AA32/18))</f>
        <v>1</v>
      </c>
      <c r="AK32" s="20">
        <f>(((P32/2)+(1-W32)+(AD32/200)+(AA32/9)))/1.06</f>
        <v>0.94339622641509424</v>
      </c>
      <c r="AL32" s="18">
        <f>((P32/2)+(1-W32)+(AD32/200)+(AA32/9))</f>
        <v>1</v>
      </c>
      <c r="AM32" s="15">
        <f>((P32/2)+(1-W32)+(AD32/200))</f>
        <v>1</v>
      </c>
      <c r="AN32" s="68">
        <f>(((P32-Q32+1.25*Q32)/2)+(T32/3)-(W32-0.2*X32+0.5*Y32)+(AD32/250)+(AA32/18))*10</f>
        <v>-0.99999999999999978</v>
      </c>
    </row>
    <row r="33" spans="1:40" ht="1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>
        <v>1</v>
      </c>
      <c r="Q33" s="1">
        <v>0</v>
      </c>
      <c r="R33" s="1"/>
      <c r="S33" s="1"/>
      <c r="T33" s="1">
        <v>0</v>
      </c>
      <c r="U33" s="1">
        <v>1</v>
      </c>
      <c r="V33" s="1">
        <v>0</v>
      </c>
      <c r="W33" s="1">
        <v>0</v>
      </c>
      <c r="X33" s="1">
        <v>0</v>
      </c>
      <c r="Y33" s="1">
        <v>0</v>
      </c>
      <c r="Z33" s="1"/>
      <c r="AA33" s="1">
        <v>0</v>
      </c>
      <c r="AB33" s="1"/>
      <c r="AC33" s="1"/>
      <c r="AD33" s="1">
        <v>100</v>
      </c>
      <c r="AE33" s="1"/>
      <c r="AF33" s="1"/>
      <c r="AG33" s="73">
        <f t="shared" si="1"/>
        <v>1.9624999999999999</v>
      </c>
      <c r="AH33" s="66">
        <f>(((P33-Q33+1.25*Q33)/2)+(T33/3)-(W33-0.2*X33+0.5*Y33)+(AD33/250)+(AA33/20))+1</f>
        <v>1.9</v>
      </c>
      <c r="AI33" s="62">
        <f>(((P33-Q33+1.25*Q33+T33)/2)+(1-(W33-0.25*X33+0.5*Y33))+(AD33/200)+(AA33/18))</f>
        <v>2</v>
      </c>
      <c r="AJ33" s="23">
        <f>((P33/2)+(1-(W33-0.25*X33+0.5*Y33))+(AD33/200)+(AA33/18))</f>
        <v>2</v>
      </c>
      <c r="AK33" s="20">
        <f>(((P33/2)+(1-W33)+(AD33/200)+(AA33/9)))/1.06</f>
        <v>1.8867924528301885</v>
      </c>
      <c r="AL33" s="18">
        <f>((P33/2)+(1-W33)+(AD33/200)+(AA33/9))</f>
        <v>2</v>
      </c>
      <c r="AM33" s="15">
        <f>((P33/2)+(1-W33)+(AD33/200))</f>
        <v>2</v>
      </c>
      <c r="AN33" s="68">
        <f>(((P33-Q33+1.25*Q33)/2)+(T33/3)-(W33-0.2*X33+0.5*Y33)+(AD33/250)+(AA33/18))*10</f>
        <v>9</v>
      </c>
    </row>
    <row r="34" spans="1:40" ht="15" customHeight="1" x14ac:dyDescent="0.25">
      <c r="A34" s="1"/>
      <c r="P34">
        <v>1</v>
      </c>
      <c r="Q34">
        <v>1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AA34">
        <v>0</v>
      </c>
      <c r="AD34">
        <v>100</v>
      </c>
      <c r="AG34" s="73">
        <f t="shared" si="1"/>
        <v>1</v>
      </c>
      <c r="AH34" s="66">
        <f>(((P34-Q34+1.25*Q34)/2)+(T34/3)-(W34-0.2*X34+0.5*Y34)+(AD34/250)+(AA34/20))+1</f>
        <v>1.0249999999999999</v>
      </c>
      <c r="AI34" s="62">
        <f>(((P34-Q34+1.25*Q34+T34)/2)+(1-(W34-0.25*X34+0.5*Y34))+(AD34/200)+(AA34/18))</f>
        <v>1.125</v>
      </c>
      <c r="AJ34" s="23">
        <f>((P34/2)+(1-(W34-0.25*X34+0.5*Y34))+(AD34/200)+(AA34/18))</f>
        <v>1</v>
      </c>
      <c r="AK34" s="20">
        <f>(((P34/2)+(1-W34)+(AD34/200)+(AA34/9)))/1.06</f>
        <v>0.94339622641509424</v>
      </c>
      <c r="AL34" s="18">
        <f>((P34/2)+(1-W34)+(AD34/200)+(AA34/9))</f>
        <v>1</v>
      </c>
      <c r="AM34" s="15">
        <f>((P34/2)+(1-W34)+(AD34/200))</f>
        <v>1</v>
      </c>
      <c r="AN34" s="68">
        <f>(((P34-Q34+1.25*Q34)/2)+(T34/3)-(W34-0.2*X34+0.5*Y34)+(AD34/250)+(AA34/18))*10</f>
        <v>0.25000000000000022</v>
      </c>
    </row>
    <row r="35" spans="1:40" ht="15" customHeight="1" x14ac:dyDescent="0.25">
      <c r="A35" s="13" t="s">
        <v>47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74">
        <v>0.59071428571428564</v>
      </c>
      <c r="Q35" s="74">
        <v>0.20548933087588797</v>
      </c>
      <c r="R35" s="74"/>
      <c r="S35" s="74"/>
      <c r="T35" s="74">
        <v>0.13</v>
      </c>
      <c r="U35" s="74">
        <v>0.06</v>
      </c>
      <c r="V35" s="74">
        <v>0.05</v>
      </c>
      <c r="W35" s="74">
        <v>0.63642857142857134</v>
      </c>
      <c r="X35" s="74">
        <v>3.3571428571428578E-2</v>
      </c>
      <c r="Y35" s="74"/>
      <c r="Z35" s="74"/>
      <c r="AA35" s="74">
        <v>0.18571428571428572</v>
      </c>
      <c r="AB35" s="74"/>
      <c r="AC35" s="74"/>
      <c r="AD35" s="74">
        <v>69.528571428571439</v>
      </c>
      <c r="AE35" s="1"/>
      <c r="AF35" s="1"/>
      <c r="AG35" s="73">
        <f t="shared" si="1"/>
        <v>1.024246552135208</v>
      </c>
      <c r="AH35" s="66">
        <f>(((P35-Q35+1.25*Q35)/2)+(T35/3)-(W35-0.2*X35+0.5*Y35)+(AD35/250)+(AA35/20))+1</f>
        <v>1.0220623568356766</v>
      </c>
      <c r="AI35" s="62">
        <f>(((P35-Q35+1.25*Q35+T35)/2)+(1-(W35-0.25*X35+0.5*Y35))+(AD35/200)+(AA35/18))</f>
        <v>1.1159679123912321</v>
      </c>
      <c r="AJ35" s="23">
        <f>((P35/2)+(1-(W35-0.25*X35+0.5*Y35))+(AD35/200)+(AA35/18))</f>
        <v>1.025281746031746</v>
      </c>
      <c r="AK35" s="20">
        <f>(((P35/2)+(1-W35)+(AD35/200)+(AA35/9)))/1.06</f>
        <v>0.96906259359089542</v>
      </c>
      <c r="AL35" s="18">
        <f>((P35/2)+(1-W35)+(AD35/200)+(AA35/9))</f>
        <v>1.0272063492063492</v>
      </c>
      <c r="AM35" s="15">
        <f>((P35/2)+(1-W35)+(AD35/200))</f>
        <v>1.0065714285714287</v>
      </c>
      <c r="AN35" s="68">
        <f>(((P35-Q35+1.25*Q35)/2)+(T35/3)-(W35-0.2*X35+0.5*Y35)+(AD35/250)+(AA35/18))*10</f>
        <v>0.23094102867422561</v>
      </c>
    </row>
    <row r="36" spans="1:40" ht="15" customHeight="1" x14ac:dyDescent="0.25">
      <c r="A36" s="16" t="s">
        <v>49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74">
        <v>0.52</v>
      </c>
      <c r="Q36" s="74">
        <v>0.13871912401324166</v>
      </c>
      <c r="R36" s="74"/>
      <c r="S36" s="74"/>
      <c r="T36" s="74">
        <v>0.13534504710975298</v>
      </c>
      <c r="U36" s="74">
        <v>4.8764960529666411E-2</v>
      </c>
      <c r="V36" s="74">
        <v>5.2966641201935317E-2</v>
      </c>
      <c r="W36" s="74">
        <v>0.71</v>
      </c>
      <c r="X36" s="74">
        <v>2.5000000000000001E-2</v>
      </c>
      <c r="Y36" s="74"/>
      <c r="Z36" s="74"/>
      <c r="AA36" s="74">
        <v>0.105</v>
      </c>
      <c r="AB36" s="74"/>
      <c r="AC36" s="74"/>
      <c r="AD36" s="74">
        <v>61.884999999999998</v>
      </c>
      <c r="AE36" s="1"/>
      <c r="AF36" s="1"/>
      <c r="AG36" s="73">
        <f t="shared" si="1"/>
        <v>0.8774163984381631</v>
      </c>
    </row>
    <row r="37" spans="1:40" ht="15" customHeight="1" x14ac:dyDescent="0.25">
      <c r="B37" t="s">
        <v>55</v>
      </c>
    </row>
    <row r="38" spans="1:40" ht="15" customHeight="1" x14ac:dyDescent="0.25">
      <c r="B38" s="21" t="s">
        <v>62</v>
      </c>
    </row>
    <row r="39" spans="1:40" ht="15" customHeight="1" x14ac:dyDescent="0.25">
      <c r="B39" s="21" t="s">
        <v>60</v>
      </c>
    </row>
    <row r="40" spans="1:40" ht="15" customHeight="1" x14ac:dyDescent="0.25">
      <c r="B40" s="25" t="s">
        <v>63</v>
      </c>
    </row>
    <row r="41" spans="1:40" ht="15" customHeight="1" x14ac:dyDescent="0.25">
      <c r="B41" s="69" t="s">
        <v>85</v>
      </c>
    </row>
    <row r="42" spans="1:40" ht="15" customHeight="1" x14ac:dyDescent="0.25">
      <c r="B42" s="69" t="s">
        <v>86</v>
      </c>
    </row>
    <row r="43" spans="1:40" ht="15" customHeight="1" x14ac:dyDescent="0.25">
      <c r="B43" s="76" t="s">
        <v>97</v>
      </c>
    </row>
    <row r="44" spans="1:40" ht="15" customHeight="1" x14ac:dyDescent="0.25">
      <c r="A44" s="13" t="s">
        <v>50</v>
      </c>
    </row>
  </sheetData>
  <sortState xmlns:xlrd2="http://schemas.microsoft.com/office/spreadsheetml/2017/richdata2" ref="A2:AS44">
    <sortCondition sortBy="cellColor" ref="AE12:AE44" dxfId="1"/>
  </sortState>
  <phoneticPr fontId="15" type="noConversion"/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2025-11-12T21:35:12Z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